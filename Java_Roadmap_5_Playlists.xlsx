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ummary" sheetId="2" state="visible" r:id="rId4"/>
    <sheet name="Playlist Index" sheetId="3" state="visible" r:id="rId5"/>
    <sheet name="Gaps - To Search" sheetId="4" state="visible" r:id="rId6"/>
  </sheets>
  <definedNames>
    <definedName function="false" hidden="true" localSheetId="3" name="_xlnm._FilterDatabase" vbProcedure="false">'Gaps - To Search'!$A$4:$G$48</definedName>
    <definedName function="false" hidden="true" localSheetId="2" name="_xlnm._FilterDatabase" vbProcedure="false">'Playlist Index'!$A$1:$H$473</definedName>
    <definedName function="false" hidden="true" localSheetId="0" name="_xlnm._FilterDatabase" vbProcedure="false">Roadmap!$A$3:$M$144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<sst xmlns="http://schemas.openxmlformats.org/spreadsheetml/2006/main" count="4225" uniqueCount="1843">
  <si>
    <t xml:space="preserve">Core Java Roadmap — mapped to 5 YouTube playlists</t>
  </si>
  <si>
    <t xml:space="preserve">Amber rows = ★ Critical (interview-heavy). Pale yellow = Important. Salmon cells in the playlist columns = no playlist covers the topic (see 'Gap / search terms'). Each cell links to the first video listed; the 'Playlist Index' sheet has a link for every video. Header cells link to the playlist.</t>
  </si>
  <si>
    <t xml:space="preserve">#</t>
  </si>
  <si>
    <t xml:space="preserve">Phase</t>
  </si>
  <si>
    <t xml:space="preserve">Topic</t>
  </si>
  <si>
    <t xml:space="preserve">What to cover</t>
  </si>
  <si>
    <t xml:space="preserve">Priority</t>
  </si>
  <si>
    <t xml:space="preserve">Playlists covering (of 5)</t>
  </si>
  <si>
    <t xml:space="preserve">A · Engineering Digest
Complete Java Programming Course 2026
37 videos</t>
  </si>
  <si>
    <t xml:space="preserve">B · Dilip IT Academy
JAVA 21 – Free Full Course
102 videos</t>
  </si>
  <si>
    <t xml:space="preserve">C · Concept &amp;&amp; Coding (Shrayansh)
Java from Basics to Advanced
52 videos</t>
  </si>
  <si>
    <t xml:space="preserve">D · Coder Army
Java Full Course 2026
57 videos</t>
  </si>
  <si>
    <t xml:space="preserve">E · Learn Coding
Java Programming – 2026
224 videos</t>
  </si>
  <si>
    <t xml:space="preserve">Gap / search terms</t>
  </si>
  <si>
    <t xml:space="preserve">Status</t>
  </si>
  <si>
    <t xml:space="preserve">1 · Foundations</t>
  </si>
  <si>
    <t xml:space="preserve">Orientation: why Java, roles, roadmap</t>
  </si>
  <si>
    <t xml:space="preserve">Why Java, Java developer roles, SDE roadmap, programming vs coding, static vs dynamic typing, Java vs Python</t>
  </si>
  <si>
    <t xml:space="preserve">Good to know</t>
  </si>
  <si>
    <t xml:space="preserve">#1 Why Java | Roadmap &amp; Importance of Java (1h 22m 5s)
#2 Role of Frontend/Backend/ Full Stack Developer | Lang. v/s Framework (1h 20m 57s)
#3 Importance of Micro Services &amp; Java Language Release &amp; Version Details (1h 27m)
#4 What is Operating System &amp; Prog.  Lang. | Types of Software Application (1h 11m 7s)</t>
  </si>
  <si>
    <t xml:space="preserve">#1 Ultimate Java Basics to Advanced Roadmap | Java Course Roadmap for Beginners (4m 42s)</t>
  </si>
  <si>
    <t xml:space="preserve">#1 Introduction to JAVA | Java Full Course for Beginners in 2026 (59m 7s)</t>
  </si>
  <si>
    <t xml:space="preserve">▶ 6 videos: #3–7, #131  (~0.7 h)
Starts with: SDE Roadmap: Software Developer Roadmap for 2026</t>
  </si>
  <si>
    <t xml:space="preserve">Not started</t>
  </si>
  <si>
    <t xml:space="preserve">Java history, features, editions</t>
  </si>
  <si>
    <t xml:space="preserve">History, key features, platform independence, JSE vs JEE vs JME</t>
  </si>
  <si>
    <t xml:space="preserve">Important</t>
  </si>
  <si>
    <t xml:space="preserve">#7 Features of Java | Platform Dependent vs InDependent (1h 28m 2s)</t>
  </si>
  <si>
    <t xml:space="preserve">#1 Introduction to JAVA | Java Full Course for Beginners in 2026 (59m 7s)
#2 Write Your First JAVA Program | JVM, JDK &amp; JRE Explained (41m 34s)</t>
  </si>
  <si>
    <t xml:space="preserve">#1 Introduction to Java (Hindi) | What is Java? Explain with Syntax and Example (11m 41s)
#9 History of Java Language (Hindi) | जावा का इतिहास क्या है? (5m 26s)
#10 Features of Java (Hindi) (6m 59s)</t>
  </si>
  <si>
    <t xml:space="preserve">Installing JDK &amp; setting up an IDE</t>
  </si>
  <si>
    <t xml:space="preserve">JDK install, PATH, IntelliJ / Eclipse / VS Code setup</t>
  </si>
  <si>
    <t xml:space="preserve">#1 How to Install Java OpenJDK on Windows 11 (11m 48s)
#3 Install IntelliJ IDEA in 5 Minutes! 🚀 Easiest Way for Beginners (2026 Windows Guide) (4m 55s)</t>
  </si>
  <si>
    <t xml:space="preserve">#5 Steps of JAVA  / JDK  Installation | Writing, Execution of Java Program (1h 25m 21s)
#20 API Documentation &amp; Eclipse IDE Setup (1h 29m 34s)</t>
  </si>
  <si>
    <t xml:space="preserve">#2 How To Setup JAVA For Visual Studio Code | Installation &amp; Code Example (7m 56s)
#13 First Java Program | Java Hello World program (4m 41s)</t>
  </si>
  <si>
    <t xml:space="preserve">JDK vs JRE vs JVM, compile &amp; run flow</t>
  </si>
  <si>
    <t xml:space="preserve">javac, bytecode, JVM, JIT, source vs bytecode, compiler vs interpreter</t>
  </si>
  <si>
    <t xml:space="preserve">★ Critical</t>
  </si>
  <si>
    <t xml:space="preserve">#2 What is JDK, JVM, JRE, javac, Byte code, JIT ? Complete Execution Process ! (12m 23s)</t>
  </si>
  <si>
    <t xml:space="preserve">#6 Java Compiler v/s Interpreter | What is JVM (1h 28m 24s)</t>
  </si>
  <si>
    <t xml:space="preserve">#3 How Java Program Works and its 3 Important Components (JVM, JRE and JDK) with Example (36m 2s)</t>
  </si>
  <si>
    <t xml:space="preserve">#2 Write Your First JAVA Program | JVM, JDK &amp; JRE Explained (41m 34s)</t>
  </si>
  <si>
    <t xml:space="preserve">#8 JDK JRE and JVM in Java (Hindi) (6m 9s)
#11 Java program Compilation and Execution process in Detail (Hindi) (6m 55s)</t>
  </si>
  <si>
    <t xml:space="preserve">Program structure &amp; main()</t>
  </si>
  <si>
    <t xml:space="preserve">Class skeleton, public static void main, comments, one public class per file, ELC/BLC</t>
  </si>
  <si>
    <t xml:space="preserve">#4 Understanding the skeleton of a Java Program (10m 2s)</t>
  </si>
  <si>
    <t xml:space="preserve">#8 Implementation of Class | Execution Flow Of Logic From main() Method (1h 27m 17s)</t>
  </si>
  <si>
    <t xml:space="preserve">#4 Quiz Question: Why only 1 Public Class in JAVA file (6m 16s)</t>
  </si>
  <si>
    <t xml:space="preserve">#2 Write Your First JAVA Program | JVM, JDK &amp; JRE Explained (41m 34s)
#18 AutoBoxing, Abstract classes &amp; POJOs | Why only one public class in java file (1h 12m 1s)</t>
  </si>
  <si>
    <t xml:space="preserve">#12 Why public static void main(String args[ ]) in Java? full Explanation (9m 32s)
#13 First Java Program | Java Hello World program (4m 41s)
#14 comments in java | types of comments in java (10m 42s)
#132 ELC and BLC in Java | Executable &amp; Non-Executable Class (14m 51s)</t>
  </si>
  <si>
    <t xml:space="preserve">Primitive data types</t>
  </si>
  <si>
    <t xml:space="preserve">byte/short/int/long/float/double/char/boolean, ranges, memory size, default values, reference vs primitive</t>
  </si>
  <si>
    <t xml:space="preserve">#5 Primitive Data Types in Java in Hindi (57m 9s)</t>
  </si>
  <si>
    <t xml:space="preserve">#9 Overview of Object | Variables &amp; Datatypes (1h 25m 7s)
#10 Primitive Datatypes | Range of Values &amp; Memory Allocation (1h 26m 19s)
#11 Memory of Primitive Datatypes | Categories of Non-Primitive Data Types (1h 28m 34s)</t>
  </si>
  <si>
    <t xml:space="preserve">#5 Java Variables - Part1 | Primitive Data Types in Depth (48m 32s)
#7 Java Variables - Part2 | Reference/Non-Primitive Data Types in Depth (42m 51s)</t>
  </si>
  <si>
    <t xml:space="preserve">#3 Java Variables &amp; Data Types Explained | Identifiers, Literals, Keywords (1h 6m 43s)</t>
  </si>
  <si>
    <t xml:space="preserve">#15 Data Types in Java (Hindi) | What is DataType? full Explanation (5m 24s)</t>
  </si>
  <si>
    <t xml:space="preserve">Binary representation of numbers</t>
  </si>
  <si>
    <t xml:space="preserve">Two's complement, IEEE 754, integer overflow, floating-point precision</t>
  </si>
  <si>
    <t xml:space="preserve">#6 How FLOAT and DOUBLE  Number Stored in Memory? | IEEE 754 Representation (20m 50s)</t>
  </si>
  <si>
    <t xml:space="preserve">#4 How Java Stores Negative &amp; Floating Point Numbers (57m 55s)</t>
  </si>
  <si>
    <t xml:space="preserve">Variables, scope, naming, keywords</t>
  </si>
  <si>
    <t xml:space="preserve">Local/instance/static variables, scope, identifiers, keywords, literals, tokens, naming conventions</t>
  </si>
  <si>
    <t xml:space="preserve">#6 Java Essentials: How to Properly Name Your Variables (8m 10s)</t>
  </si>
  <si>
    <t xml:space="preserve">#12 Data Types &amp; Variables in JAVA (1h 52m 23s)
#13 Static vs Non-Static  Variables (2h 4m 20s)
#14 Static V/S Non-Static  Variables (1h 24m 31s)
#23 Naming Conventions in Java (1h 33m 53s)</t>
  </si>
  <si>
    <t xml:space="preserve">▶ 6 videos: #16–18, #23–25  (~0.9 h)
Starts with: Variables in Java (Hindi) | What is variable? full Explanation with types</t>
  </si>
  <si>
    <t xml:space="preserve">Type casting &amp; type promotion</t>
  </si>
  <si>
    <t xml:space="preserve">Implicit (widening), explicit (narrowing), promotion in expressions</t>
  </si>
  <si>
    <t xml:space="preserve">#63 Type Casting | Implicit &amp; Explicit Type Casting (1h 30m 55s)</t>
  </si>
  <si>
    <t xml:space="preserve">#5 Java Type Conversions &amp; Type Promotions Explained | Casting in Java (36m 43s)</t>
  </si>
  <si>
    <t xml:space="preserve">#20 Type Casting in Java with Example (Hindi) (11m 35s)</t>
  </si>
  <si>
    <t xml:space="preserve">Operators</t>
  </si>
  <si>
    <t xml:space="preserve">Arithmetic, relational, logical, assignment, unary, ternary, precedence, short-circuit</t>
  </si>
  <si>
    <t xml:space="preserve">#7 Become a Math Wiz: Understanding Arithmetic Operators – From Basics to Advanced! (31m 18s)</t>
  </si>
  <si>
    <t xml:space="preserve">#24 Types of Operators in Java (1h 31m 53s)
#25 Types of Operators In Java (1h 42m 43s)
#26 Operators In Java (1h 25m 54s)</t>
  </si>
  <si>
    <t xml:space="preserve">#21 Operators in Java | Different Types of Operators in JAVA (57m 6s)</t>
  </si>
  <si>
    <t xml:space="preserve">#6 Java Operators | Arithmetic + Unary + Logical + Bitwise + Assignment Operators (2h 8m 10s)</t>
  </si>
  <si>
    <t xml:space="preserve">▶ 7 videos: #26–32  (~0.8 h)
Starts with: Operators in Java (Hindi) | What is Operator? Discuss with types</t>
  </si>
  <si>
    <t xml:space="preserve">Bitwise operators &amp; shifts</t>
  </si>
  <si>
    <t xml:space="preserve">&amp;, |, ^, ~, &lt;&lt;, &gt;&gt;, &gt;&gt;&gt;</t>
  </si>
  <si>
    <t xml:space="preserve">#8 Bitwise operators in Java (17m 40s)</t>
  </si>
  <si>
    <t xml:space="preserve">#33 Bitwise Operators Example in Java (Hindi) (11m 28s)</t>
  </si>
  <si>
    <t xml:space="preserve">Console input / output</t>
  </si>
  <si>
    <t xml:space="preserve">Scanner, BufferedReader, System.in, print/println/printf, Console class</t>
  </si>
  <si>
    <t xml:space="preserve">#9 Println vs Print vs Printf in Java (20m 49s)</t>
  </si>
  <si>
    <t xml:space="preserve">#33 User Dynamic Input of Data In Java (1h 37m 10s)</t>
  </si>
  <si>
    <t xml:space="preserve">#20 Java I/O Deep Dive | InputStreams, System.in, Scanner vs BufferedReader (1h 11m 13s)</t>
  </si>
  <si>
    <t xml:space="preserve">#21 Input &amp; Output in Java (hindi) (13m 18s)
#22 How to take input from user in Java (6m 49s)
#130 Console Class in Java with Example | readLine() and readPassword() methods in Java (10m 23s)</t>
  </si>
  <si>
    <t xml:space="preserve">Conditional statements</t>
  </si>
  <si>
    <t xml:space="preserve">if / else-if ladder / nested if, switch</t>
  </si>
  <si>
    <t xml:space="preserve">#12 How to Use Conditional Statements in Java: If, Else If, Else, Switch case (32m 22s)</t>
  </si>
  <si>
    <t xml:space="preserve">#27 Control Flow Statements (1h 36m 35s)
#28 Control Statements In Java (1h 19m 2s)
#29 Switch Statement In Java (1h 41m 33s)</t>
  </si>
  <si>
    <t xml:space="preserve">#22 Control Flow Statements in Java | Decision Making, Looping and Branching Statements (52m 9s)</t>
  </si>
  <si>
    <t xml:space="preserve">#7 Java Conditional Statements | If, If-Else, If-Else-If Ladder, Switch Explained (1h 21m 29s)</t>
  </si>
  <si>
    <t xml:space="preserve">▶ 6 videos: #34–39  (~1.0 h)
Starts with: Decision Making Statements ( if, if else, else if ladder, nested if else, switch) in Java</t>
  </si>
  <si>
    <t xml:space="preserve">Loops &amp; jump statements</t>
  </si>
  <si>
    <t xml:space="preserve">for, for-each, while, do-while, break, continue, labeled break/continue</t>
  </si>
  <si>
    <t xml:space="preserve">#13 Java Loops Explained: For, While, and Do-While Loops (30m 54s)</t>
  </si>
  <si>
    <t xml:space="preserve">#30 Looping Statements In Java (1h 41m 3s)
#31 Looping Statements In Java (1h 28m 29s)
#32 Branching Statements In Java (1h 24m 40s)</t>
  </si>
  <si>
    <t xml:space="preserve">#8 Java Loops &amp; Jump Statements | for, while, do-while, break, continue Explained (1h 25m 7s)</t>
  </si>
  <si>
    <t xml:space="preserve">▶ 6 videos: #40–45  (~1.0 h)
Starts with: Looping Statements in Java (Hindi) | loops in Java</t>
  </si>
  <si>
    <t xml:space="preserve">Arrays: 1D, 2D, jagged</t>
  </si>
  <si>
    <t xml:space="preserve">Declaration, initialization, memory layout (heap, contiguous), default values, length</t>
  </si>
  <si>
    <t xml:space="preserve">#14 Mastering Java Arrays: 1D, 2D, and Jagged Arrays Explained (34m 41s)</t>
  </si>
  <si>
    <t xml:space="preserve">#36 Arrays In Java (1h 37m 37s)
#37 Arrays &amp; Array Operations In Java (1h 41m 16s)
#38 Arrays &amp; Array Operations In Java (1h 39m 46s)</t>
  </si>
  <si>
    <t xml:space="preserve">#9 Introduction to Arrays | Declaration, Initialization, Traversal (1h 47m 1s)
#10 How Arrays work in Java | Heap, Contiguous Storage, Random Access (54m 3s)</t>
  </si>
  <si>
    <t xml:space="preserve">#91 Arrays in Java (Hindi) | What is array? Explain with Syntax &amp; Example (17m 8s)</t>
  </si>
  <si>
    <t xml:space="preserve">Array operations &amp; Arrays class</t>
  </si>
  <si>
    <t xml:space="preserve">sort, fill, copyOf, binarySearch, equals, deepToString, search/insert/delete</t>
  </si>
  <si>
    <t xml:space="preserve">#37 Arrays &amp; Array Operations In Java (1h 41m 16s)
#38 Arrays &amp; Array Operations In Java (1h 39m 46s)</t>
  </si>
  <si>
    <t xml:space="preserve">▶ 16 videos: #92–107  (~2.4 h)
Starts with: Print array elements in Java</t>
  </si>
  <si>
    <t xml:space="preserve">Array covariance &amp; ArrayStoreException</t>
  </si>
  <si>
    <t xml:space="preserve">Why Object[] = new String[] compiles, runtime failure</t>
  </si>
  <si>
    <t xml:space="preserve">NOT COVERED — Search: java array covariance ArrayStoreException</t>
  </si>
  <si>
    <t xml:space="preserve">Command-line arguments</t>
  </si>
  <si>
    <t xml:space="preserve">String[] args, passing and parsing arguments</t>
  </si>
  <si>
    <t xml:space="preserve">#39 Command Line Arguments In Java (1h 28m 55s)</t>
  </si>
  <si>
    <t xml:space="preserve">#15 Static &amp; Final in Java | Static Methods, Blocks &amp; String[] args (45m 28s)</t>
  </si>
  <si>
    <t xml:space="preserve">Methods</t>
  </si>
  <si>
    <t xml:space="preserve">Declaration, parameters, return types, overloading, varargs, signature</t>
  </si>
  <si>
    <t xml:space="preserve">#16 Methods in Java (29m 38s)</t>
  </si>
  <si>
    <t xml:space="preserve">#15 Methods in Java (1h 27m 2s)
#16 Methods in Java (1h 32m 57s)
#17 Methods in Java (1h 29m 47s)
#18 How to Access Methods in Java (1h 33m 36s)</t>
  </si>
  <si>
    <t xml:space="preserve">#8 Java Methods in Depth | Different Types of Methods with Examples (1h 1m 10s)</t>
  </si>
  <si>
    <t xml:space="preserve">#11 Java Functions Deep Dive | Recursion (1h 24m 50s)</t>
  </si>
  <si>
    <t xml:space="preserve">#121 Methods in Java (Hindi) | What is method? Explain with Syntax &amp; Example (13m 37s)
#122 Static vs Non-Static Method in Java (7m 28s)
#123 How to use Methods in Java (12m 38s)
#172 var arg method in java (13m 7s)</t>
  </si>
  <si>
    <t xml:space="preserve">Recursion</t>
  </si>
  <si>
    <t xml:space="preserve">Base case, call stack, stack depth, recursion vs iteration</t>
  </si>
  <si>
    <t xml:space="preserve">#17 Easiest Way to Learn Recursion: Beginner-Friendly Guide (13m 23s)</t>
  </si>
  <si>
    <t xml:space="preserve">#124 Recursion in Java (Hindi) (12m 34s)
#125 Java Program to Find Factorial using Recursion (11m 28s)</t>
  </si>
  <si>
    <t xml:space="preserve">Pass-by-value &amp; object copying basics</t>
  </si>
  <si>
    <t xml:space="preserve">Why Java is always pass-by-value (even for references), object size</t>
  </si>
  <si>
    <t xml:space="preserve">#14 Objects Deep Dive | Size, Call by Value vs Reference (44m 21s)</t>
  </si>
  <si>
    <t xml:space="preserve">Partial: only 1 video (D#14). Search: java pass by value vs pass by reference</t>
  </si>
  <si>
    <t xml:space="preserve">Practice programs: numbers, patterns, series, matrices</t>
  </si>
  <si>
    <t xml:space="preserve">Prime, palindrome, Armstrong, factorial, Fibonacci, star/number patterns, matrix programs</t>
  </si>
  <si>
    <t xml:space="preserve">▶ 56 videos: #19, #48–83, #85–90, #108–120  (~8.2 h)
Starts with: Add two numbers program in Java (without user input)</t>
  </si>
  <si>
    <t xml:space="preserve">Strings: immutability &amp; string pool</t>
  </si>
  <si>
    <t xml:space="preserve">Heap storage, string pool, intern(), why String is immutable, == vs equals()</t>
  </si>
  <si>
    <t xml:space="preserve">#10 Java Strings Explained: Understanding String Data Types, Heap Storage, and String Pool (18m 38s)</t>
  </si>
  <si>
    <t xml:space="preserve">#25 Java Strings | String Pool, Immutability, Internals (1h 8m 59s)</t>
  </si>
  <si>
    <t xml:space="preserve">#126 What is String? full Explanation | Why String is Immutable in Java (19m 12s)</t>
  </si>
  <si>
    <t xml:space="preserve">String methods</t>
  </si>
  <si>
    <t xml:space="preserve">substring, split, replace, compareTo, format, join, strip, repeat</t>
  </si>
  <si>
    <t xml:space="preserve">#11 Master Java String Methods: A Comprehensive Guide for Beginners (26m 8s)</t>
  </si>
  <si>
    <t xml:space="preserve">#19 String Methods &amp; Operations in Java (1h 30m 44s)</t>
  </si>
  <si>
    <t xml:space="preserve">#26 Java Strings Part 2 | All String Methods + StringBuilder vs StringBuffer (1h 15m 55s)</t>
  </si>
  <si>
    <t xml:space="preserve">#127 Java Program to Compare Two Strings (8m 43s)
#128 String Methods in Java | toLowerCase(), toUpperCase(), concat(), length(), trim(), replace() etc... (11m 46s)</t>
  </si>
  <si>
    <t xml:space="preserve">String vs StringBuilder vs StringBuffer</t>
  </si>
  <si>
    <t xml:space="preserve">Mutability, thread-safety, performance</t>
  </si>
  <si>
    <t xml:space="preserve">#37 Java String vs StringBuilder vs StringBuffer: Best Practices &amp; Performance (13m 15s)</t>
  </si>
  <si>
    <t xml:space="preserve">#129 Java program to reverse a string | StringBuffer and StringBuilder Class in Java (8m 56s)</t>
  </si>
  <si>
    <t xml:space="preserve">Regular expressions</t>
  </si>
  <si>
    <t xml:space="preserve">Pattern, Matcher, groups, quantifiers, lookahead</t>
  </si>
  <si>
    <t xml:space="preserve">NOT COVERED — Search: java regex Pattern Matcher tutorial; java regular expressions lookahead groups</t>
  </si>
  <si>
    <t xml:space="preserve">2 · OOP</t>
  </si>
  <si>
    <t xml:space="preserve">OOP overview: four pillars</t>
  </si>
  <si>
    <t xml:space="preserve">Encapsulation, inheritance, polymorphism, abstraction</t>
  </si>
  <si>
    <t xml:space="preserve">#15 Master OOP in Java: Encapsulation, Abstraction, Polymorphism &amp; Inheritance Explained in 20 Minutes (22m 47s)</t>
  </si>
  <si>
    <t xml:space="preserve">#2 OOPs Concept in Java with Examples | 4 Pillars of Object Oriented Programming (OOPs) (1h 36m 42s)</t>
  </si>
  <si>
    <t xml:space="preserve">#12 Object Oriented Programming  in Java | Classes, Objects, new Keyword (1h 5m 11s)</t>
  </si>
  <si>
    <t xml:space="preserve">#133 Java Basic OOP Concepts | Features of OOPs in Java (6m 19s)</t>
  </si>
  <si>
    <t xml:space="preserve">Classes &amp; objects</t>
  </si>
  <si>
    <t xml:space="preserve">Class vs object, new keyword, object creation flow, heap/stack</t>
  </si>
  <si>
    <t xml:space="preserve">#7 Features of Java | Platform Dependent vs InDependent (1h 28m 2s)
#8 Implementation of Class | Execution Flow Of Logic From main() Method (1h 27m 17s)</t>
  </si>
  <si>
    <t xml:space="preserve">#11 Java Classes in Depth - Part1 | Nested Class, Concrete, Abstract, Object, Super and Sub Class (50m 21s)</t>
  </si>
  <si>
    <t xml:space="preserve">#134 Class and Object in Java (9m 41s)
#168 new keyword in java (12m 32s)</t>
  </si>
  <si>
    <t xml:space="preserve">Constructors</t>
  </si>
  <si>
    <t xml:space="preserve">Default, parameterized, copy, private, overloading, chaining with this()</t>
  </si>
  <si>
    <t xml:space="preserve">#20 What are constructors in Java ? (8m)</t>
  </si>
  <si>
    <t xml:space="preserve">#34 Constructors In Java (1h 25m 56s)
#35 Constructors &amp; Types of Constructors In Java (1h 29m 48s)</t>
  </si>
  <si>
    <t xml:space="preserve">#9 Java Constructor in Depth | Different Types of Constructor with Examples (35m 25s)</t>
  </si>
  <si>
    <t xml:space="preserve">#13 Constructors in Java | Constructor Chaining, Overloading &amp; this (58m 2s)</t>
  </si>
  <si>
    <t xml:space="preserve">▶ 6 videos: #135–140  (~0.9 h)
Starts with: Constructors in Java | what is constructor? with syntax and example</t>
  </si>
  <si>
    <t xml:space="preserve">Initialization blocks &amp; order</t>
  </si>
  <si>
    <t xml:space="preserve">Static block, instance block, initialization order</t>
  </si>
  <si>
    <t xml:space="preserve">#141 instance block in java (8m 47s)
#142 static block in java (8m 12s)
#143 instance block Vs static block in Java (7m 56s)</t>
  </si>
  <si>
    <t xml:space="preserve">Partial: init order across inheritance not covered by title. Search: java initialization order static instance block constructor</t>
  </si>
  <si>
    <t xml:space="preserve">this &amp; super keywords</t>
  </si>
  <si>
    <t xml:space="preserve">this vs super, constructor calling order</t>
  </si>
  <si>
    <t xml:space="preserve">#53 this &amp; super keywords | Difference between this &amp;  super (1h 37m 34s)
#54 this &amp; super keywords | Difference between this &amp;  super (1h 36m 16s)
#55 this &amp; super keywords | Difference between this &amp;  super (1h 24m 25s)</t>
  </si>
  <si>
    <t xml:space="preserve">#13 Constructors in Java | Constructor Chaining, Overloading &amp; this (58m 2s)
#16 Encapsulation &amp; Inheritance in Java | Java Packages &amp; Super Keyword (1h 38m 2s)</t>
  </si>
  <si>
    <t xml:space="preserve">#149 Super Keyword in Java (14m 14s)
#150 this keyword in java (14m 15s)</t>
  </si>
  <si>
    <t xml:space="preserve">Encapsulation</t>
  </si>
  <si>
    <t xml:space="preserve">Data hiding, getters/setters, immutability link</t>
  </si>
  <si>
    <t xml:space="preserve">#19 Encapsulation in Java in 15 minutes (16m 49s)</t>
  </si>
  <si>
    <t xml:space="preserve">#59 Encapsulation in Java | Data Binding in Java (1h 27m 15s)</t>
  </si>
  <si>
    <t xml:space="preserve">#16 Encapsulation &amp; Inheritance in Java | Java Packages &amp; Super Keyword (1h 38m 2s)</t>
  </si>
  <si>
    <t xml:space="preserve">#154 Encapsulation in Java (10m 46s)</t>
  </si>
  <si>
    <t xml:space="preserve">Access modifiers</t>
  </si>
  <si>
    <t xml:space="preserve">public, protected, default, private</t>
  </si>
  <si>
    <t xml:space="preserve">#24 Access Modifiers: Public, Private, Default &amp; Protected (25m 11s)</t>
  </si>
  <si>
    <t xml:space="preserve">#58 Access Specifiers | Access Modifiers (50m)</t>
  </si>
  <si>
    <t xml:space="preserve">Inheritance</t>
  </si>
  <si>
    <t xml:space="preserve">Types of inheritance, extends, why no multiple inheritance, super, constructor order</t>
  </si>
  <si>
    <t xml:space="preserve">#21 Inheritance in Java (34m 36s)</t>
  </si>
  <si>
    <t xml:space="preserve">#41 Inheritence &amp; Types of Inheritence In Java (1h 28m 5s)
#42 Inheritence  &amp; Types of Inheritence In Java (1h 20m 10s)
#43 Implementation of Inheritence With Examples (1h 36m 2s)</t>
  </si>
  <si>
    <t xml:space="preserve">▶ 5 videos: #144–148  (~0.7 h)
Starts with: Inheritance in Java (hindi) | What is Inheritance? full Explanation</t>
  </si>
  <si>
    <t xml:space="preserve">Overloading vs overriding</t>
  </si>
  <si>
    <t xml:space="preserve">Overriding rules, covariant return type, @Override, real-time examples</t>
  </si>
  <si>
    <t xml:space="preserve">#16 Methods in Java (29m 38s)
#22 Polymorphism: Compile Time vs Run Time ( Dynamic Method Dispatch ) (14m 45s)</t>
  </si>
  <si>
    <t xml:space="preserve">#50 Method Overloading &amp; Method Overriding | Polymorphism (1h 29m 38s)
#51 Method Overriding | Real Time Examples of Method Overriding (1h 31m 11s)</t>
  </si>
  <si>
    <t xml:space="preserve">#152 Method Overloading in Java (9m 59s)
#153 Method Overriding in Java (11m 16s)
#170 @override annotation in java (10m 4s)
#171 covariant return type in java (10m 43s)</t>
  </si>
  <si>
    <t xml:space="preserve">Polymorphism</t>
  </si>
  <si>
    <t xml:space="preserve">Compile-time vs runtime, dynamic method dispatch</t>
  </si>
  <si>
    <t xml:space="preserve">#22 Polymorphism: Compile Time vs Run Time ( Dynamic Method Dispatch ) (14m 45s)</t>
  </si>
  <si>
    <t xml:space="preserve">#56 polymorphism | compiletime/static &amp; runtime/dynamic polymorphism (1h 32m 30s)
#57 polymorphism | compiletime/static &amp; runtime/dynamic polymorphism (1h 8m 9s)</t>
  </si>
  <si>
    <t xml:space="preserve">#17 Abstraction &amp; Polymorphism in Depth | Abstract Class vs Interfaces (1h 28m 1s)</t>
  </si>
  <si>
    <t xml:space="preserve">#151 Polymorphism in Java (4m 7s)</t>
  </si>
  <si>
    <t xml:space="preserve">Upcasting, downcasting, instanceof</t>
  </si>
  <si>
    <t xml:space="preserve">Reference casting, ClassCastException, instanceof pattern</t>
  </si>
  <si>
    <t xml:space="preserve">NOT COVERED — Search: java upcasting downcasting instanceof ClassCastException</t>
  </si>
  <si>
    <t xml:space="preserve">Abstraction: abstract classes &amp; methods</t>
  </si>
  <si>
    <t xml:space="preserve">Abstract class rules, abstract methods, constructors in abstract classes</t>
  </si>
  <si>
    <t xml:space="preserve">#23 Abstraction in Java (19m 35s)</t>
  </si>
  <si>
    <t xml:space="preserve">#44 Abstraction in Java | Interfaces in Java (1h 29m 17s)
#48 Abstract Classes &amp; Abstract Methods | Interface vs Abstract Class (1h 35m 50s)
#49 Abstract Classes &amp; Abstract Methods | Interface v/s Abstract Class (1h 37m 5s)</t>
  </si>
  <si>
    <t xml:space="preserve">#17 Abstraction &amp; Polymorphism in Depth | Abstract Class vs Interfaces (1h 28m 1s)
#18 AutoBoxing, Abstract classes &amp; POJOs | Why only one public class in java file (1h 12m 1s)</t>
  </si>
  <si>
    <t xml:space="preserve">#155 Abstraction in Java (Hindi) (6m 46s)
#156 Abstract Class in Java (10m 45s)
#157 abstract class program in java (9m 3s)
#158 Abstract Method in Java (18m 45s)</t>
  </si>
  <si>
    <t xml:space="preserve">Interfaces</t>
  </si>
  <si>
    <t xml:space="preserve">Default / static / private methods, multiple inheritance, marker &amp; functional interfaces, extending interfaces</t>
  </si>
  <si>
    <t xml:space="preserve">#27 Mastering Java Interfaces: Static &amp; Default Methods, Multiple Inheritance Explained (26m 6s)</t>
  </si>
  <si>
    <t xml:space="preserve">▶ 5 videos: #44–45, #47, #64–65  (~7.2 h)
Starts with: Abstraction in Java | Interfaces in Java</t>
  </si>
  <si>
    <t xml:space="preserve">#15 Java Interface in Depth - Part1 (44m 56s)
#16 Default, Static &amp; Private Method in Interface - Java8 and Java9 features | Java Interfaces Part2 (28m 22s)</t>
  </si>
  <si>
    <t xml:space="preserve">#24 Java Interfaces Deep Dive | Default Methods, Functional, Marker Interfaces (59m 55s)</t>
  </si>
  <si>
    <t xml:space="preserve">▶ 8 videos: #159–166  (~1.6 h)
Starts with: Interface in Java</t>
  </si>
  <si>
    <t xml:space="preserve">Interface vs abstract class</t>
  </si>
  <si>
    <t xml:space="preserve">When to use which, differences</t>
  </si>
  <si>
    <t xml:space="preserve">#46 Interfaces &amp; Abstract Classes | Interface v/s Abstract Class (1h 15m 15s)
#48 Abstract Classes &amp; Abstract Methods | Interface vs Abstract Class (1h 35m 50s)
#49 Abstract Classes &amp; Abstract Methods | Interface v/s Abstract Class (1h 37m 5s)</t>
  </si>
  <si>
    <t xml:space="preserve">#177 Difference between abstract class and interface in java | Interface Vs Abstract Class (10m 1s)</t>
  </si>
  <si>
    <t xml:space="preserve">Packages &amp; imports</t>
  </si>
  <si>
    <t xml:space="preserve">Built-in and user-defined packages, import, static import, classpath</t>
  </si>
  <si>
    <t xml:space="preserve">#18 Understand Packages and Classpath in 15 minutes (16m 26s)</t>
  </si>
  <si>
    <t xml:space="preserve">#21 packages in Java (1h 32m 56s)
#22 package &amp; import in Java (1h 34m 29s)</t>
  </si>
  <si>
    <t xml:space="preserve">#200 Packages in Java (10m 41s)
#201 Built in Package in Java (15m 11s)
#202 User-defined Package in Java (21m 53s)</t>
  </si>
  <si>
    <t xml:space="preserve">static keyword</t>
  </si>
  <si>
    <t xml:space="preserve">Static variable, method, block, nested class</t>
  </si>
  <si>
    <t xml:space="preserve">#25 Mastering Static in Java: Static variable, method &amp; block (18m 50s)</t>
  </si>
  <si>
    <t xml:space="preserve">#13 Static vs Non-Static  Variables (2h 4m 20s)
#14 Static V/S Non-Static  Variables (1h 24m 31s)</t>
  </si>
  <si>
    <t xml:space="preserve">#122 Static vs Non-Static Method in Java (7m 28s)
#142 static block in java (8m 12s)
#143 instance block Vs static block in Java (7m 56s)</t>
  </si>
  <si>
    <t xml:space="preserve">final keyword</t>
  </si>
  <si>
    <t xml:space="preserve">final variable, method, class</t>
  </si>
  <si>
    <t xml:space="preserve">#26 Mastering the Final Keyword in Java: Everything You Need to Know! (10m 36s)</t>
  </si>
  <si>
    <t xml:space="preserve">#52 final class &amp; final methods | abstract class vs final class (1h 28m 37s)</t>
  </si>
  <si>
    <t xml:space="preserve">#167 final keyword in java | final variable, final method and final class in java (14m 52s)</t>
  </si>
  <si>
    <t xml:space="preserve">Other modifiers</t>
  </si>
  <si>
    <t xml:space="preserve">transient, volatile, native, strictfp, synchronized</t>
  </si>
  <si>
    <t xml:space="preserve">NOT COVERED — Search: java transient native strictfp keywords explained (volatile &amp; synchronized are covered in Phase 8)</t>
  </si>
  <si>
    <t xml:space="preserve">Nested &amp; inner classes</t>
  </si>
  <si>
    <t xml:space="preserve">Static nested, inner, local, anonymous classes, outer member access</t>
  </si>
  <si>
    <t xml:space="preserve">#28 Exploring Inner Classes in Java: Static, Member, Local, and Anonymous Types (35m 25s)</t>
  </si>
  <si>
    <t xml:space="preserve">#19 Java Nested Classes | Static Nested, Inner, Local &amp; Anonymous Classes (1h 20m 58s)</t>
  </si>
  <si>
    <t xml:space="preserve">Object class</t>
  </si>
  <si>
    <t xml:space="preserve">equals(), hashCode() contract, toString(), getClass()</t>
  </si>
  <si>
    <t xml:space="preserve">#61 Object class | Object Class Methods (1h 31m 13s)
#62 Object class | equals() &amp; hashcode() contract (1h 32m 28s)</t>
  </si>
  <si>
    <t xml:space="preserve">#22 Most Important Class in Java | Object Class (equals, hashCode, toString) (1h 7m 31s)</t>
  </si>
  <si>
    <t xml:space="preserve">clone(), shallow vs deep copy</t>
  </si>
  <si>
    <t xml:space="preserve">Cloneable issues, copy constructors, deep copy strategies</t>
  </si>
  <si>
    <t xml:space="preserve">#138 Copy Constructor in Java (7m 2s)</t>
  </si>
  <si>
    <t xml:space="preserve">Partial: clone()/Cloneable not in any title. Search: java clone Cloneable shallow deep copy</t>
  </si>
  <si>
    <t xml:space="preserve">Immutable classes &amp; Singleton</t>
  </si>
  <si>
    <t xml:space="preserve">How to build immutable objects, Singleton variants</t>
  </si>
  <si>
    <t xml:space="preserve">#14 Java Singleton and Immutable Class Explained with Examples | Java Classes in Depth - Part4 (28m 26s)</t>
  </si>
  <si>
    <t xml:space="preserve">#21 Immutable Classes in Java | How to Create Immutable Objects (35m 4s)</t>
  </si>
  <si>
    <t xml:space="preserve">POJO, DTO, JavaBeans</t>
  </si>
  <si>
    <t xml:space="preserve">Plain objects, setters/getters, DTO pattern</t>
  </si>
  <si>
    <t xml:space="preserve">#60 POJO class Implementation | Setter &amp; Getter Methods (1h 23m 34s)</t>
  </si>
  <si>
    <t xml:space="preserve">#13 Java Enum, POJO and Final Classes Explained with Examples | Java Classes in Depth - Part3 (43m 10s)</t>
  </si>
  <si>
    <t xml:space="preserve">#18 AutoBoxing, Abstract classes &amp; POJOs | Why only one public class in java file (1h 12m 1s)</t>
  </si>
  <si>
    <t xml:space="preserve">Wrapper classes &amp; autoboxing</t>
  </si>
  <si>
    <t xml:space="preserve">Integer cache, autoboxing/unboxing, wrapper methods</t>
  </si>
  <si>
    <t xml:space="preserve">#30 Mastering Wrapper Classes in Java: Autoboxing, Autounboxing, Methods Explained (16m 18s)</t>
  </si>
  <si>
    <t xml:space="preserve">#40 Wrapper Classes In Java (1h 33m 41s)</t>
  </si>
  <si>
    <t xml:space="preserve">Enums</t>
  </si>
  <si>
    <t xml:space="preserve">values(), valueOf(), ordinal(), fields/constructors, EnumMap, EnumSet</t>
  </si>
  <si>
    <t xml:space="preserve">#32 Understanding Enums in Java: Internal working, toString, values, ordinal, valueOf &amp; much more ! (24m 39s)</t>
  </si>
  <si>
    <t xml:space="preserve">#98 Constructor References | ENUM (1h 3m 36s)</t>
  </si>
  <si>
    <t xml:space="preserve">#23 Java Enums | Why Not Use int/String for Constants? (1h 12m 9s)
#34 Set &amp; Map Methods Explained | EnumMaps, IdentityHashMaps &amp; More (1h 11m 20s)</t>
  </si>
  <si>
    <t xml:space="preserve">Records</t>
  </si>
  <si>
    <t xml:space="preserve">Compact constructors, limitations</t>
  </si>
  <si>
    <t xml:space="preserve">#46 Java 16: Record class (35m 45s)</t>
  </si>
  <si>
    <t xml:space="preserve">Sealed classes &amp; interfaces</t>
  </si>
  <si>
    <t xml:space="preserve">sealed, permits, non-sealed</t>
  </si>
  <si>
    <t xml:space="preserve">#42 Java 17 : Sealed Classes and Interfaces (10m 30s)</t>
  </si>
  <si>
    <t xml:space="preserve">Math class</t>
  </si>
  <si>
    <t xml:space="preserve">min, max, ceil, floor, round, random, pow, trig</t>
  </si>
  <si>
    <t xml:space="preserve">#31 Master Math in Java: Min, Max, Ceil, Floor, Round, Random, Pi, Log, Sin, Cos &amp; More! (10m 25s)</t>
  </si>
  <si>
    <t xml:space="preserve">3 · Exceptions</t>
  </si>
  <si>
    <t xml:space="preserve">Exception hierarchy</t>
  </si>
  <si>
    <t xml:space="preserve">Throwable, Error vs Exception, RuntimeException, checked vs unchecked</t>
  </si>
  <si>
    <t xml:space="preserve">#29 Master Exceptions in Java: Try, Catch, Finally, Throw, Throws, try-with-resources &amp; Custom Exception (52m 21s)</t>
  </si>
  <si>
    <t xml:space="preserve">#70 Lambda Exp. Examples | Exception Handling (1h 31m 12s)
#71 Exception Handling | Exception Classes (1h 30m 41s)</t>
  </si>
  <si>
    <t xml:space="preserve">#20 Exception Handling in Java with Examples (1h 14m 41s)</t>
  </si>
  <si>
    <t xml:space="preserve">#43 Java Exception Handling from Scratch | Exceptions vs Errors (55m 46s)
#44 Exception Hierarchy Deep Dive | throw vs throws (1h 5m 23s)</t>
  </si>
  <si>
    <t xml:space="preserve">#173 Exception Handling in Java | ArithmeticException (19m 44s)
#174 Exception Hierarchy in Java | NullPointerException (15m 32s)
#182 Difference Between Checked and Unchecked Exception (11m 43s)
#193 Difference Between Exception and Error (5m 36s)</t>
  </si>
  <si>
    <t xml:space="preserve">try / catch / finally</t>
  </si>
  <si>
    <t xml:space="preserve">Multi-catch, nested try, execution order</t>
  </si>
  <si>
    <t xml:space="preserve">#72 Exception Handling | Types of Exceptions (1h 35m 43s)
#73 Exception Handling | try catch finally blocks (1h 35m 10s)
#74 Exception Handling | try catch finally blocks (1h 30m 49s)</t>
  </si>
  <si>
    <t xml:space="preserve">#43 Java Exception Handling from Scratch | Exceptions vs Errors (55m 46s)</t>
  </si>
  <si>
    <t xml:space="preserve">▶ 7 videos: #175–176, #178–181, #183  (~1.6 h)
Starts with: try catch block in java | NumberFormatException</t>
  </si>
  <si>
    <t xml:space="preserve">throw vs throws &amp; propagation</t>
  </si>
  <si>
    <t xml:space="preserve">Declaring vs raising, propagation up the call stack, try-catch vs throws</t>
  </si>
  <si>
    <t xml:space="preserve">#75 Exception Handling | finally blocks (1h 35m 25s)
#76 Exception Handling | throws v/s throw (1h 42m 52s)</t>
  </si>
  <si>
    <t xml:space="preserve">#44 Exception Hierarchy Deep Dive | throw vs throws (1h 5m 23s)</t>
  </si>
  <si>
    <t xml:space="preserve">▶ 6 videos: #186–190, #192  (~1.1 h)
Starts with: throw keyword in java</t>
  </si>
  <si>
    <t xml:space="preserve">try-with-resources</t>
  </si>
  <si>
    <t xml:space="preserve">AutoCloseable, suppressed exceptions</t>
  </si>
  <si>
    <t xml:space="preserve">Partial: only named in A#29 title; suppressed exceptions not mentioned. Search: java try-with-resources suppressed exceptions</t>
  </si>
  <si>
    <t xml:space="preserve">Custom exceptions</t>
  </si>
  <si>
    <t xml:space="preserve">Checked/unchecked custom types, exception chaining (cause)</t>
  </si>
  <si>
    <t xml:space="preserve">#76 Exception Handling | throws v/s throw (1h 42m 52s)</t>
  </si>
  <si>
    <t xml:space="preserve">#191 user defined exception in java (12m 51s)</t>
  </si>
  <si>
    <t xml:space="preserve">final vs finally vs finalize</t>
  </si>
  <si>
    <t xml:space="preserve">Interview classic</t>
  </si>
  <si>
    <t xml:space="preserve">#184 finalize method in java (6m 22s)
#185 Difference between final, finally and finalize | final Vs finally Vs finalize (9m 7s)</t>
  </si>
  <si>
    <t xml:space="preserve">Exception pitfalls &amp; errors</t>
  </si>
  <si>
    <t xml:space="preserve">finally with return, swallowing exceptions, overriding + throws rules, StackOverflowError, OutOfMemoryError, assertions</t>
  </si>
  <si>
    <t xml:space="preserve">NOT COVERED — Search: java exception handling best practices pitfalls; java assert keyword; StackOverflowError vs OutOfMemoryError</t>
  </si>
  <si>
    <t xml:space="preserve">4 · Generics</t>
  </si>
  <si>
    <t xml:space="preserve">Generic classes, methods, interfaces</t>
  </si>
  <si>
    <t xml:space="preserve">Type parameters, generic methods, generic interfaces</t>
  </si>
  <si>
    <t xml:space="preserve">#35 Java Generics Explained: Classes, Methods, Interfaces, Enums, &amp; Exceptions (58m 13s)</t>
  </si>
  <si>
    <t xml:space="preserve">#78 Collections Framework | List Interface &amp; Impl. Classes (1h 33m 58s)
#79 Collections Framework | List Interface &amp; Impl. Classes (1h 26m 20s)</t>
  </si>
  <si>
    <t xml:space="preserve">#12 Java Generic Classes | Java Classes in Depth - Part2 (51m 58s)</t>
  </si>
  <si>
    <t xml:space="preserve">#27 Java Generics Deep Dive | Bounded Types using extends (1h 5m 8s)</t>
  </si>
  <si>
    <t xml:space="preserve">Bounded types &amp; wildcards</t>
  </si>
  <si>
    <t xml:space="preserve">extends/super bounds, ?, ? extends T, ? super T, PECS</t>
  </si>
  <si>
    <t xml:space="preserve">#27 Java Generics Deep Dive | Bounded Types using extends (1h 5m 8s)
#28 Wildcards in Generics | ?, ? extends, ? super (1h 22m 24s)</t>
  </si>
  <si>
    <t xml:space="preserve">Type erasure &amp; generics limits</t>
  </si>
  <si>
    <t xml:space="preserve">Type erasure, bridge methods, raw types, no new T(), no generic arrays</t>
  </si>
  <si>
    <t xml:space="preserve">NOT COVERED — Search: java generics type erasure bridge methods raw types</t>
  </si>
  <si>
    <t xml:space="preserve">5 · Collections</t>
  </si>
  <si>
    <t xml:space="preserve">Collections framework overview</t>
  </si>
  <si>
    <t xml:space="preserve">Hierarchy: Iterable → Collection → List/Set/Queue, Map separately</t>
  </si>
  <si>
    <t xml:space="preserve">#36 Complete Java Collections Framework &amp; Streams Masterclass 2026 (7h 49m 16s)</t>
  </si>
  <si>
    <t xml:space="preserve">#77 Collections Framework | Interfaces &amp; Classes (1h 30m 25s)</t>
  </si>
  <si>
    <t xml:space="preserve">#23 Collections in Java - Part1 | Java Collections Framework in depth (41m 26s)</t>
  </si>
  <si>
    <t xml:space="preserve">#29 Java Collection Framework Explained | Data Structures + Complete Hierarchy (1h 15m 58s)
#31 Java Collection Interface Deep Dive | Methods &amp; Internals (29m 15s)</t>
  </si>
  <si>
    <t xml:space="preserve">#223 Collections Framework in Java (24m 39s)</t>
  </si>
  <si>
    <t xml:space="preserve">Iterable, Iterator, fail-fast</t>
  </si>
  <si>
    <t xml:space="preserve">Iterator, ListIterator, for-each internals, fail-fast vs fail-safe, ConcurrentModificationException</t>
  </si>
  <si>
    <t xml:space="preserve">#30 Iterable Interface in Java | Why Iterator Exists? (1h 16m 1s)</t>
  </si>
  <si>
    <t xml:space="preserve">Partial: D#30 covers Iterable/Iterator; fail-fast vs fail-safe not in title. Search: java fail-fast fail-safe ConcurrentModificationException</t>
  </si>
  <si>
    <t xml:space="preserve">List: ArrayList, LinkedList, Vector, Stack</t>
  </si>
  <si>
    <t xml:space="preserve">ArrayList resizing/growth, LinkedList internals, ArrayList vs LinkedList</t>
  </si>
  <si>
    <t xml:space="preserve">▶ 5 videos: #78–82  (~7.4 h)
Starts with: Collections Framework | List Interface &amp; Impl. Classes</t>
  </si>
  <si>
    <t xml:space="preserve">#25 Collections in Java - Part3 | Deque and List in Depth (1h 11m 57s)</t>
  </si>
  <si>
    <t xml:space="preserve">#32 Java List Interface Deep Dive | ArrayList, LinkedList, Vector, Stack (44m 38s)</t>
  </si>
  <si>
    <t xml:space="preserve">Set: HashSet, LinkedHashSet, TreeSet</t>
  </si>
  <si>
    <t xml:space="preserve">Backed by HashMap, ordering guarantees, SortedSet/NavigableSet</t>
  </si>
  <si>
    <t xml:space="preserve">#83 Collections Framework | Set Interface (1h 35m 38s)
#86 Collection Framework | Map Interface (1h 11m 15s)</t>
  </si>
  <si>
    <t xml:space="preserve">#28 Collections in Java - Part6 | SET (21m 21s)</t>
  </si>
  <si>
    <t xml:space="preserve">#33 Set &amp; Map Interface in Java | Internal Working of HashMap, HashSet &amp; TreeMap (1h 37m 28s)</t>
  </si>
  <si>
    <t xml:space="preserve">HashMap internals</t>
  </si>
  <si>
    <t xml:space="preserve">Hashing, buckets, collisions, treeification, load factor, resize/rehash</t>
  </si>
  <si>
    <t xml:space="preserve">#84 Collections Framework | Map Interface (1h 28m 12s)
#85 Collections Framework | Map Interface (1h 38m 34s)
#86 Collection Framework | Map Interface (1h 11m 15s)</t>
  </si>
  <si>
    <t xml:space="preserve">#26 Collections in Java - Part4 | HashMap Internal Working in Java (58m 11s)</t>
  </si>
  <si>
    <t xml:space="preserve">LinkedHashMap, TreeMap &amp; special maps</t>
  </si>
  <si>
    <t xml:space="preserve">Access-order/LRU, red-black tree, EnumMap, IdentityHashMap, WeakHashMap</t>
  </si>
  <si>
    <t xml:space="preserve">#86 Collection Framework | Map Interface (1h 11m 15s)</t>
  </si>
  <si>
    <t xml:space="preserve">#27 Collections in Java - Part5 | LinkedHashMap and TreeMap in depth (37m 21s)</t>
  </si>
  <si>
    <t xml:space="preserve">#33 Set &amp; Map Interface in Java | Internal Working of HashMap, HashSet &amp; TreeMap (1h 37m 28s)
#34 Set &amp; Map Methods Explained | EnumMaps, IdentityHashMaps &amp; More (1h 11m 20s)</t>
  </si>
  <si>
    <t xml:space="preserve">Queue, Deque, PriorityQueue</t>
  </si>
  <si>
    <t xml:space="preserve">Binary heap internals, ArrayDeque, LinkedList as deque</t>
  </si>
  <si>
    <t xml:space="preserve">#24 Collections in Java - Part2 | Comparator Vs Comparable (1h 1m 8s)
#25 Collections in Java - Part3 | Deque and List in Depth (1h 11m 57s)</t>
  </si>
  <si>
    <t xml:space="preserve">#35 Java Queue Interface Deep Dive | PriorityQueue &amp; Heap Explained (1h 17m 25s)</t>
  </si>
  <si>
    <t xml:space="preserve">Comparable vs Comparator</t>
  </si>
  <si>
    <t xml:space="preserve">Natural vs custom ordering, chained comparators</t>
  </si>
  <si>
    <t xml:space="preserve">#24 Collections in Java - Part2 | Comparator Vs Comparable (1h 1m 8s)</t>
  </si>
  <si>
    <t xml:space="preserve">#36 Comparable Interface in Java | Collections class (44m 35s)
#37 Java Lambdas &amp; Functional Interfaces | Comparator Interface (49m 38s)</t>
  </si>
  <si>
    <t xml:space="preserve">Collections utility class</t>
  </si>
  <si>
    <t xml:space="preserve">sort, reverse, shuffle, frequency, max/min, synchronized/unmodifiable wrappers</t>
  </si>
  <si>
    <t xml:space="preserve">#36 Comparable Interface in Java | Collections class (44m 35s)</t>
  </si>
  <si>
    <t xml:space="preserve">Immutable collections &amp; pitfalls</t>
  </si>
  <si>
    <t xml:space="preserve">List.of(), Arrays.asList() pitfalls, unmodifiable vs immutable</t>
  </si>
  <si>
    <t xml:space="preserve">NOT COVERED — Search: List.of vs Arrays.asList vs Collections.unmodifiableList</t>
  </si>
  <si>
    <t xml:space="preserve">Time complexity &amp; choosing a collection</t>
  </si>
  <si>
    <t xml:space="preserve">Big-O of each structure, decision guide</t>
  </si>
  <si>
    <t xml:space="preserve">NOT COVERED — Search: java collections time complexity cheat sheet</t>
  </si>
  <si>
    <t xml:space="preserve">6 · Functional Java</t>
  </si>
  <si>
    <t xml:space="preserve">Lambda expressions</t>
  </si>
  <si>
    <t xml:space="preserve">Syntax, target typing, effectively-final capture</t>
  </si>
  <si>
    <t xml:space="preserve">#68 Functional Interfaces | Lambda Expressions (1h 36m 57s)
#69 Functional Interfaces | Lambda Expressions Implementation (1h 18m 43s)
#70 Lambda Exp. Examples | Exception Handling (1h 31m 12s)</t>
  </si>
  <si>
    <t xml:space="preserve">#17 Functional Interface and Lambda Expression - Java8 features | Java Interfaces Part3 (31m 32s)</t>
  </si>
  <si>
    <t xml:space="preserve">#37 Java Lambdas &amp; Functional Interfaces | Comparator Interface (49m 38s)
#38 Lambdas &amp; Functional Interface Deep Dive | Method References &amp; Composition (1h 55m 9s)</t>
  </si>
  <si>
    <t xml:space="preserve">Functional interfaces</t>
  </si>
  <si>
    <t xml:space="preserve">Predicate, Function, Consumer, Supplier, Bi* variants, composition (andThen, compose, and, or)</t>
  </si>
  <si>
    <t xml:space="preserve">#68 Functional Interfaces | Lambda Expressions (1h 36m 57s)
#69 Functional Interfaces | Lambda Expressions Implementation (1h 18m 43s)
#87 Predicate, Function, Consumer, Supplier | Functional Interfaces (1h 26m 9s)
#88 Predicate, Function, Consumer, Supplier | Functional Interfaces (1h 19m 48s)</t>
  </si>
  <si>
    <t xml:space="preserve">Method &amp; constructor references</t>
  </si>
  <si>
    <t xml:space="preserve">Static, instance, arbitrary-object, constructor refs</t>
  </si>
  <si>
    <t xml:space="preserve">#91 Method References  in JAVA | Constructor References in JAVA (1h 8m 16s)
#98 Constructor References | ENUM (1h 3m 36s)
#99 Method &amp; Constructor References | Types of Method Refereences (1h 9m 24s)</t>
  </si>
  <si>
    <t xml:space="preserve">#38 Lambdas &amp; Functional Interface Deep Dive | Method References &amp; Composition (1h 55m 9s)</t>
  </si>
  <si>
    <t xml:space="preserve">Optional</t>
  </si>
  <si>
    <t xml:space="preserve">of, ofNullable, map, flatMap, orElse vs orElseGet, orElseThrow, anti-patterns</t>
  </si>
  <si>
    <t xml:space="preserve">#92 Optional Class In Java &amp; Optional Class Methods in JAVA | Tutorail (1h 54m)
#96 Optional Class &amp; Methods | Use Cases (1h 4m 20s)
#97 Optional Class &amp; Methods | Use Cases (59m 42s)</t>
  </si>
  <si>
    <t xml:space="preserve">#48 Master Java Optional from Java 8 to 11 | All Methods with Real Examples (1h 13m 53s)</t>
  </si>
  <si>
    <t xml:space="preserve">#41 Java Optional Explained from Scratch | All Methods + Streams Integration (1h 16m 34s)
#42 Parallel Streams in Java Explained | Primitive Optional Classes (42m 35s)</t>
  </si>
  <si>
    <t xml:space="preserve">Streams: creation, intermediate &amp; terminal ops</t>
  </si>
  <si>
    <t xml:space="preserve">filter, map, flatMap, sorted, reduce, lazy evaluation, short-circuiting</t>
  </si>
  <si>
    <t xml:space="preserve">#89 Stream API | Operations (1h 27m 52s)
#90 Stream API | Stream Pipeline (1h 29m 9s)
#93 Stream API in JAVA | All Stream API Methods &amp; Operations (2h 40m 23s)</t>
  </si>
  <si>
    <t xml:space="preserve">#29 Streams in Java8 | Collections in Java - Part7 (1h 15m 10s)</t>
  </si>
  <si>
    <t xml:space="preserve">#39 Introduction to Java Streams | Creation &amp; Architecture (1h 3m 20s)
#40 Java Stream Methods Deep Dive | All Intermediate &amp; Terminal Operations (1h 12s)</t>
  </si>
  <si>
    <t xml:space="preserve">Collectors</t>
  </si>
  <si>
    <t xml:space="preserve">toList, toMap, groupingBy, partitioningBy, joining, downstream collectors</t>
  </si>
  <si>
    <t xml:space="preserve">#94 Stream API | Stream Pipeline (50m 49s)
#95 Stream API | Stream Pipeline (1h 2m 25s)</t>
  </si>
  <si>
    <t xml:space="preserve">#40 Java Stream Methods Deep Dive | All Intermediate &amp; Terminal Operations (1h 12s)</t>
  </si>
  <si>
    <t xml:space="preserve">Parallel &amp; primitive streams</t>
  </si>
  <si>
    <t xml:space="preserve">IntStream/LongStream, parallel streams, common pool pitfalls</t>
  </si>
  <si>
    <t xml:space="preserve">#42 Parallel Streams in Java Explained | Primitive Optional Classes (42m 35s)</t>
  </si>
  <si>
    <t xml:space="preserve">Custom collectors &amp; newer stream APIs</t>
  </si>
  <si>
    <t xml:space="preserve">Collector.of, mapMulti, Stream.toList()</t>
  </si>
  <si>
    <t xml:space="preserve">NOT COVERED — Search: java custom Collector.of; java mapMulti stream</t>
  </si>
  <si>
    <t xml:space="preserve">7 · I/O &amp; APIs</t>
  </si>
  <si>
    <t xml:space="preserve">File I/O</t>
  </si>
  <si>
    <t xml:space="preserve">File class, byte/char streams, Reader/Writer, Buffered streams, read/write/copy files</t>
  </si>
  <si>
    <t xml:space="preserve">#49 Java File Handling Explained | Streams, Buffers, Readers &amp; Writers (1h 5m)</t>
  </si>
  <si>
    <t xml:space="preserve">▶ 6 videos: #194–199  (~1.0 h)
Starts with: File Handling in Java | Java program to create a File</t>
  </si>
  <si>
    <t xml:space="preserve">NIO &amp; NIO.2</t>
  </si>
  <si>
    <t xml:space="preserve">Path, Files, Channels, Buffers (Heap/Direct/Mapped), FileChannel</t>
  </si>
  <si>
    <t xml:space="preserve">#50 Java NIO Deep Dive (Part-1): Advantages of NIO over Traditional File I/O (51m 30s)
#51 Java NIO Deep Dive (Part2): ByteBuffer, HeapByteBuffer, DirectByteBuffer, MappedByteBuffer (47m 21s)
#52 Java NIO Deep Dive (Part3): FileChannel and Complete Code Examples (50m 59s)</t>
  </si>
  <si>
    <t xml:space="preserve">Serialization</t>
  </si>
  <si>
    <t xml:space="preserve">Serializable, serialVersionUID, transient, Externalizable, security concerns</t>
  </si>
  <si>
    <t xml:space="preserve">NOT COVERED — Search: java serialization serialVersionUID transient Externalizable</t>
  </si>
  <si>
    <t xml:space="preserve">Networking basics</t>
  </si>
  <si>
    <t xml:space="preserve">Socket/ServerSocket, URL/URI, java.net.http.HttpClient, TCP vs UDP</t>
  </si>
  <si>
    <t xml:space="preserve">NOT COVERED — Search: java socket programming ServerSocket; java HttpClient tutorial</t>
  </si>
  <si>
    <t xml:space="preserve">Date &amp; Time API</t>
  </si>
  <si>
    <t xml:space="preserve">LocalDate/Time, ZonedDateTime, Instant, Duration, Period, DateTimeFormatter, DST pitfalls</t>
  </si>
  <si>
    <t xml:space="preserve">NOT COVERED — Search: java 8 date time API LocalDate ZonedDateTime tutorial</t>
  </si>
  <si>
    <t xml:space="preserve">BigInteger &amp; BigDecimal</t>
  </si>
  <si>
    <t xml:space="preserve">Arbitrary precision, rounding modes, money pitfalls</t>
  </si>
  <si>
    <t xml:space="preserve">NOT COVERED — Search: java BigDecimal BigInteger rounding modes</t>
  </si>
  <si>
    <t xml:space="preserve">Utility classes</t>
  </si>
  <si>
    <t xml:space="preserve">Objects, UUID, Random/ThreadLocalRandom/SecureRandom, Properties, Locale, ResourceBundle, System class</t>
  </si>
  <si>
    <t xml:space="preserve">NOT COVERED — Search: java Objects UUID Properties ResourceBundle; System.nanoTime arraycopy</t>
  </si>
  <si>
    <t xml:space="preserve">8 · Concurrency</t>
  </si>
  <si>
    <t xml:space="preserve">Process vs thread, creation, lifecycle</t>
  </si>
  <si>
    <t xml:space="preserve">Thread vs Runnable vs Callable, states, scheduler</t>
  </si>
  <si>
    <t xml:space="preserve">#33 Java Multithreading: Synchronization, Locks, Executors, Deadlock, CountdownLatch &amp; CompletableFuture (3h 55m 41s)</t>
  </si>
  <si>
    <t xml:space="preserve">#100 Threads | Thread Life Cycle (51m)
#101 Threads | Thread Life Cycle (1h 1m 38s)</t>
  </si>
  <si>
    <t xml:space="preserve">#30 Multithreading and Concurrency in Java: Part1 | Threads, Process and their Memory Model in depth (47m 47s)
#31 Thread Creation, Thread Lifecycle and Inter-Thread Communication | Multithreading in Java: Part2 (1h 8m 18s)</t>
  </si>
  <si>
    <t xml:space="preserve">#47 Introduction to Multithreading in Java | Process vs Thread (51m 38s)
#48 Java Thread Creation &amp; Lifecycle Explained from Scratch (1h 1m)</t>
  </si>
  <si>
    <t xml:space="preserve">▶ 6 videos: #203–208  (~1.1 h)
Starts with: Multithreading in Java (hindi) | Multitasking vs Multithreading</t>
  </si>
  <si>
    <t xml:space="preserve">Thread methods</t>
  </si>
  <si>
    <t xml:space="preserve">sleep, join, yield, interrupt, isAlive, daemon, priority</t>
  </si>
  <si>
    <t xml:space="preserve">#32 Thread Joining, Daemon Thread, Thread Priority | Multithreading in Java: Part3 (45m 2s)</t>
  </si>
  <si>
    <t xml:space="preserve">#49 Thread Methods | sleep, join, yield, interrupt, isAlive, priority &amp; more (39m 5s)</t>
  </si>
  <si>
    <t xml:space="preserve">▶ 9 videos: #209–216, #222  (~1.1 h)
Starts with: sleep() method in java multithreading</t>
  </si>
  <si>
    <t xml:space="preserve">Thread-safety problems</t>
  </si>
  <si>
    <t xml:space="preserve">Race condition, visibility, ordering, shared mutable state</t>
  </si>
  <si>
    <t xml:space="preserve">#30 Multithreading and Concurrency in Java: Part1 | Threads, Process and their Memory Model in depth (47m 47s)</t>
  </si>
  <si>
    <t xml:space="preserve">#50 Problems in Multithreading | Race Condition, Visibility, Ordering Explained (55m 54s)</t>
  </si>
  <si>
    <t xml:space="preserve">#217 multithreading problems and solutions in java | synchronization in java (17m 36s)</t>
  </si>
  <si>
    <t xml:space="preserve">synchronized</t>
  </si>
  <si>
    <t xml:space="preserve">Method/block/static sync, intrinsic locks, reentrancy</t>
  </si>
  <si>
    <t xml:space="preserve">#102 Threads | Multi Threading (1h 4m 56s)</t>
  </si>
  <si>
    <t xml:space="preserve">#51 Monitor Locks in Java | Synchronized Keyword, Static Sync &amp; Custom Locks (47m 57s)</t>
  </si>
  <si>
    <t xml:space="preserve">#218 Synchronization in Java Multithreading (10m 43s)
#219 synchronized method in java multithreading (12m 20s)
#220 synchronized block in java multithreading (12m 13s)
#221 static synchronization in java multithreading | fix synchronized problems in java (20m 56s)</t>
  </si>
  <si>
    <t xml:space="preserve">wait / notify / notifyAll</t>
  </si>
  <si>
    <t xml:space="preserve">Inter-thread communication, producer-consumer</t>
  </si>
  <si>
    <t xml:space="preserve">#31 Thread Creation, Thread Lifecycle and Inter-Thread Communication | Multithreading in Java: Part2 (1h 8m 18s)</t>
  </si>
  <si>
    <t xml:space="preserve">#52 Inter Thread Communication in Java | wait(), notify(), notifyAll() Deep Dive (1h 3m 17s)</t>
  </si>
  <si>
    <t xml:space="preserve">volatile vs atomic</t>
  </si>
  <si>
    <t xml:space="preserve">Visibility vs atomicity</t>
  </si>
  <si>
    <t xml:space="preserve">#34 Volatile vs Atomic in Java: Thread Safety Explained (11m 46s)</t>
  </si>
  <si>
    <t xml:space="preserve">#34 Lock-Free Concurrency | Compare-and-Swap (41m 53s)</t>
  </si>
  <si>
    <t xml:space="preserve">#54 Lock-Free Concurrency in Java | AtomicVariables &amp; CAS Explained (49m 7s)</t>
  </si>
  <si>
    <t xml:space="preserve">Deadlock, livelock, starvation</t>
  </si>
  <si>
    <t xml:space="preserve">Causes, detection, prevention</t>
  </si>
  <si>
    <t xml:space="preserve">Partial: only named in A#33 (a ~4h video). Search: java deadlock livelock starvation examples prevention</t>
  </si>
  <si>
    <t xml:space="preserve">Java Memory Model</t>
  </si>
  <si>
    <t xml:space="preserve">Happens-before, safe publication, final-field semantics, double-checked locking</t>
  </si>
  <si>
    <t xml:space="preserve">Partial: D#50 touches visibility/ordering only. Search: java memory model happens-before explained</t>
  </si>
  <si>
    <t xml:space="preserve">Explicit locks</t>
  </si>
  <si>
    <t xml:space="preserve">ReentrantLock, ReadWriteLock, StampedLock, Condition</t>
  </si>
  <si>
    <t xml:space="preserve">#33 Locks and Condition | Java Multithreading Part4 (46m 48s)</t>
  </si>
  <si>
    <t xml:space="preserve">#53 Java Locks | ReentrantLock, ReadWriteLock, StampedLock, Semaphore &amp; Condition (1h 20m 5s)</t>
  </si>
  <si>
    <t xml:space="preserve">Atomics &amp; CAS</t>
  </si>
  <si>
    <t xml:space="preserve">AtomicInteger/Reference, CAS retry, ABA problem, LongAdder</t>
  </si>
  <si>
    <t xml:space="preserve">#54 Lock-Free Concurrency in Java | AtomicVariables &amp; CAS Explained (49m 7s)
#55 Lock-Free Concurrency in Java - 2 | CAS Retry, Compare-and-Swap &amp; ABA Problem (31m 29s)</t>
  </si>
  <si>
    <t xml:space="preserve">Synchronizers</t>
  </si>
  <si>
    <t xml:space="preserve">CountDownLatch, CyclicBarrier, Semaphore, Phaser, Exchanger</t>
  </si>
  <si>
    <t xml:space="preserve">Partial: Phaser/Exchanger not in any title</t>
  </si>
  <si>
    <t xml:space="preserve">Concurrent collections</t>
  </si>
  <si>
    <t xml:space="preserve">ConcurrentHashMap internals, CopyOnWriteArrayList, BlockingQueue family</t>
  </si>
  <si>
    <t xml:space="preserve">NOT COVERED — Search: ConcurrentHashMap internal working java; BlockingQueue producer consumer java</t>
  </si>
  <si>
    <t xml:space="preserve">ThreadLocal</t>
  </si>
  <si>
    <t xml:space="preserve">Per-thread state, memory-leak pitfalls</t>
  </si>
  <si>
    <t xml:space="preserve">#39 Java VirtualThreads vs Normal Threads | ThreadLocal in Java (22m 44s)</t>
  </si>
  <si>
    <t xml:space="preserve">#57 CompletableFuture, Fork-Join Pool, ThreadLocal &amp; Virtual Threads (1h 22m 18s)</t>
  </si>
  <si>
    <t xml:space="preserve">Executor framework &amp; thread pools</t>
  </si>
  <si>
    <t xml:space="preserve">ThreadPoolExecutor params, pool types, rejection policy, scheduled executor, shutdown vs awaitTermination</t>
  </si>
  <si>
    <t xml:space="preserve">#35 Thread Pools in Java | ThreadPoolExecutor Framework (1h 16m 55s)
#37 Java ForkJoinPool | WorkStealingPool (39m 15s)
#38 Java ScheduledThreadPoolExecutor | Shutdown Vs AwaitTermination (23m 12s)</t>
  </si>
  <si>
    <t xml:space="preserve">#56 Executor Framework Deep Dive | ThreadPool, Future &amp; Callable (1h 19m 14s)</t>
  </si>
  <si>
    <t xml:space="preserve">Future &amp; Callable</t>
  </si>
  <si>
    <t xml:space="preserve">Future, invokeAll/invokeAny</t>
  </si>
  <si>
    <t xml:space="preserve">#36 Java8 CompletableFuture | Future and Callable in Java (1h 6m 2s)</t>
  </si>
  <si>
    <t xml:space="preserve">CompletableFuture</t>
  </si>
  <si>
    <t xml:space="preserve">Chaining, combining, exception handling, async variants</t>
  </si>
  <si>
    <t xml:space="preserve">ForkJoinPool &amp; work stealing</t>
  </si>
  <si>
    <t xml:space="preserve">RecursiveTask, common pool</t>
  </si>
  <si>
    <t xml:space="preserve">#37 Java ForkJoinPool | WorkStealingPool (39m 15s)</t>
  </si>
  <si>
    <t xml:space="preserve">Virtual threads</t>
  </si>
  <si>
    <t xml:space="preserve">Platform vs virtual threads, pinning</t>
  </si>
  <si>
    <t xml:space="preserve">Structured concurrency, Scoped Values, Flow API</t>
  </si>
  <si>
    <t xml:space="preserve">Java 21+ concurrency additions</t>
  </si>
  <si>
    <t xml:space="preserve">NOT COVERED — Search: java 21 structured concurrency; java scoped values; java Flow API</t>
  </si>
  <si>
    <t xml:space="preserve">9 · Reflection &amp; Annotations</t>
  </si>
  <si>
    <t xml:space="preserve">Reflection</t>
  </si>
  <si>
    <t xml:space="preserve">Class, Method, Field, Constructor, private access, cost</t>
  </si>
  <si>
    <t xml:space="preserve">#18 Java Reflection in Depth (Using Examples) (38m 2s)</t>
  </si>
  <si>
    <t xml:space="preserve">Annotations</t>
  </si>
  <si>
    <t xml:space="preserve">Built-in, custom, retention, target, repeatable</t>
  </si>
  <si>
    <t xml:space="preserve">#67 Annotations | Declaring Annotations (1h 30m 41s)</t>
  </si>
  <si>
    <t xml:space="preserve">#19 Java Annotations with Examples (1h 10m 42s)</t>
  </si>
  <si>
    <t xml:space="preserve">#170 @override annotation in java (10m 4s)</t>
  </si>
  <si>
    <t xml:space="preserve">Annotation processing</t>
  </si>
  <si>
    <t xml:space="preserve">Compile-time processors</t>
  </si>
  <si>
    <t xml:space="preserve">NOT COVERED — Search: java annotation processor tutorial</t>
  </si>
  <si>
    <t xml:space="preserve">Dynamic proxies, MethodHandles, VarHandle</t>
  </si>
  <si>
    <t xml:space="preserve">Proxy, InvocationHandler</t>
  </si>
  <si>
    <t xml:space="preserve">NOT COVERED — Search: java dynamic proxy InvocationHandler; MethodHandles VarHandle</t>
  </si>
  <si>
    <t xml:space="preserve">Class loaders</t>
  </si>
  <si>
    <t xml:space="preserve">Bootstrap/platform/application loaders, delegation model, custom loader</t>
  </si>
  <si>
    <t xml:space="preserve">NOT COVERED — Search: java classloader delegation model bootstrap platform application</t>
  </si>
  <si>
    <t xml:space="preserve">10 · JVM Internals</t>
  </si>
  <si>
    <t xml:space="preserve">JVM memory areas</t>
  </si>
  <si>
    <t xml:space="preserve">Heap (young/old, eden, survivor), stack frames, metaspace, PC register</t>
  </si>
  <si>
    <t xml:space="preserve">#10 Java Memory Management and Garbage Collection in Depth (48m 48s)</t>
  </si>
  <si>
    <t xml:space="preserve">#45 Java Memory Management Explained in Depth | Stack, Heap, Method Area &amp; PC (1h 4m 10s)</t>
  </si>
  <si>
    <t xml:space="preserve">Garbage collection basics</t>
  </si>
  <si>
    <t xml:space="preserve">Reachability, GC roots, mark-sweep/compact/copy, generational GC</t>
  </si>
  <si>
    <t xml:space="preserve">#46 Java Heap Memory Deep Dive | Garbage Collection Algorithms Explained (1h 2m 53s)</t>
  </si>
  <si>
    <t xml:space="preserve">Reference types &amp; memory leaks</t>
  </si>
  <si>
    <t xml:space="preserve">Strong, soft, weak, phantom references; leak causes</t>
  </si>
  <si>
    <t xml:space="preserve">NOT COVERED — Search: java strong soft weak phantom references; java memory leak causes</t>
  </si>
  <si>
    <t xml:space="preserve">GC collectors &amp; tuning</t>
  </si>
  <si>
    <t xml:space="preserve">Serial, Parallel, G1, ZGC, Shenandoah, tuning flags, reading GC logs</t>
  </si>
  <si>
    <t xml:space="preserve">NOT COVERED — Search: G1 vs ZGC vs Shenandoah explained; how to read GC logs java</t>
  </si>
  <si>
    <t xml:space="preserve">JIT &amp; execution</t>
  </si>
  <si>
    <t xml:space="preserve">Interpreter vs C1/C2, tiered compilation, escape analysis, GraalVM native image</t>
  </si>
  <si>
    <t xml:space="preserve">Partial: JIT only named in A#2. Search: java JIT tiered compilation C1 C2; GraalVM native image</t>
  </si>
  <si>
    <t xml:space="preserve">Bytecode &amp; class files</t>
  </si>
  <si>
    <t xml:space="preserve">javap, constant pool, class file structure</t>
  </si>
  <si>
    <t xml:space="preserve">Partial: bytecode only named in A#2. Search: javap bytecode instructions class file structure</t>
  </si>
  <si>
    <t xml:space="preserve">Diagnostics &amp; profiling</t>
  </si>
  <si>
    <t xml:space="preserve">jstack, jmap, jcmd, JFR, VisualVM, heap dumps (MAT), thread dumps</t>
  </si>
  <si>
    <t xml:space="preserve">NOT COVERED — Search: jstack jmap jcmd tutorial; Java Flight Recorder tutorial; heap dump Eclipse MAT</t>
  </si>
  <si>
    <t xml:space="preserve">JMH microbenchmarking</t>
  </si>
  <si>
    <t xml:space="preserve">Warm-up, benchmarking pitfalls</t>
  </si>
  <si>
    <t xml:space="preserve">NOT COVERED — Search: JMH java microbenchmark tutorial</t>
  </si>
  <si>
    <t xml:space="preserve">11 · Modern Java</t>
  </si>
  <si>
    <t xml:space="preserve">var &amp; local type inference</t>
  </si>
  <si>
    <t xml:space="preserve">var rules, var in lambdas</t>
  </si>
  <si>
    <t xml:space="preserve">NOT COVERED — Search: java var keyword local variable type inference</t>
  </si>
  <si>
    <t xml:space="preserve">Text blocks</t>
  </si>
  <si>
    <t xml:space="preserve">Multi-line strings</t>
  </si>
  <si>
    <t xml:space="preserve">#47 Java 15: Text Blocks (18m 32s)</t>
  </si>
  <si>
    <t xml:space="preserve">Switch expressions &amp; yield</t>
  </si>
  <si>
    <t xml:space="preserve">Arrow syntax, yield</t>
  </si>
  <si>
    <t xml:space="preserve">#43 Java 14: Switch Expressions Deep Dive (23m 6s)</t>
  </si>
  <si>
    <t xml:space="preserve">Pattern matching</t>
  </si>
  <si>
    <t xml:space="preserve">instanceof, switch, record patterns</t>
  </si>
  <si>
    <t xml:space="preserve">#44 Java 16: Pattern Matching for instanceof (8m 49s)
#45 Java 21: Pattern Matching for switch (18m 40s)</t>
  </si>
  <si>
    <t xml:space="preserve">Sequenced collections (Java 21)</t>
  </si>
  <si>
    <t xml:space="preserve">SequencedCollection / Set / Map</t>
  </si>
  <si>
    <t xml:space="preserve">#41 Java 21 : SequencedCollection, SequencedSet and SequencedMap (38m 20s)</t>
  </si>
  <si>
    <t xml:space="preserve">Java versions &amp; LTS releases</t>
  </si>
  <si>
    <t xml:space="preserve">Release cadence, what 8 / 11 / 17 / 21 added</t>
  </si>
  <si>
    <t xml:space="preserve">#3 Importance of Micro Services &amp; Java Language Release &amp; Version Details (1h 27m)</t>
  </si>
  <si>
    <t xml:space="preserve">JPMS modules</t>
  </si>
  <si>
    <t xml:space="preserve">module-info.java, requires, exports, opens, jlink</t>
  </si>
  <si>
    <t xml:space="preserve">NOT COVERED — Search: java 9 modules module-info jlink</t>
  </si>
  <si>
    <t xml:space="preserve">Foreign Function &amp; Memory API, Vector API</t>
  </si>
  <si>
    <t xml:space="preserve">Newer Java 21+ APIs</t>
  </si>
  <si>
    <t xml:space="preserve">NOT COVERED — Search: java foreign function memory API; java vector API</t>
  </si>
  <si>
    <t xml:space="preserve">12 · Tooling &amp; Testing</t>
  </si>
  <si>
    <t xml:space="preserve">Debugging in the IDE</t>
  </si>
  <si>
    <t xml:space="preserve">Breakpoints, conditional breakpoints, step-through, remote debugging</t>
  </si>
  <si>
    <t xml:space="preserve">#66 Mastering Java Applications Debugging | Step-by-Step Guide (1h 29m 41s)</t>
  </si>
  <si>
    <t xml:space="preserve">Build tools: Maven / Gradle</t>
  </si>
  <si>
    <t xml:space="preserve">Lifecycle, POM, dependencies, plugins</t>
  </si>
  <si>
    <t xml:space="preserve">NOT COVERED — Search: maven tutorial for beginners java; gradle java tutorial</t>
  </si>
  <si>
    <t xml:space="preserve">Unit testing: JUnit 5 &amp; Mockito</t>
  </si>
  <si>
    <t xml:space="preserve">Assertions, parameterized tests, mocks, stubs, spies</t>
  </si>
  <si>
    <t xml:space="preserve">NOT COVERED — Search: JUnit 5 tutorial; Mockito tutorial java</t>
  </si>
  <si>
    <t xml:space="preserve">Logging</t>
  </si>
  <si>
    <t xml:space="preserve">SLF4J, Logback, log levels</t>
  </si>
  <si>
    <t xml:space="preserve">NOT COVERED — Search: slf4j logback tutorial java</t>
  </si>
  <si>
    <t xml:space="preserve">Javadoc &amp; API docs</t>
  </si>
  <si>
    <t xml:space="preserve">Reading the JDK API docs, writing Javadoc</t>
  </si>
  <si>
    <t xml:space="preserve">#20 API Documentation &amp; Eclipse IDE Setup (1h 29m 34s)</t>
  </si>
  <si>
    <t xml:space="preserve">Partial: B#20 covers reading API docs; writing Javadoc not covered</t>
  </si>
  <si>
    <t xml:space="preserve">Static analysis &amp; code coverage</t>
  </si>
  <si>
    <t xml:space="preserve">Checkstyle, SpotBugs, JaCoCo</t>
  </si>
  <si>
    <t xml:space="preserve">NOT COVERED — Search: checkstyle spotbugs jacoco java tutorial</t>
  </si>
  <si>
    <t xml:space="preserve">Lombok</t>
  </si>
  <si>
    <t xml:space="preserve">@Getter/@Setter/@Builder etc. (bonus: not in original roadmap)</t>
  </si>
  <si>
    <t xml:space="preserve">#40 Project Lombok in Java in depth | Lombok top 10 features (27m 37s)</t>
  </si>
  <si>
    <t xml:space="preserve">13 · DSA in Java</t>
  </si>
  <si>
    <t xml:space="preserve">Data structures from scratch</t>
  </si>
  <si>
    <t xml:space="preserve">Linked list, stack, queue, hash map, heap, BST, trie, graph</t>
  </si>
  <si>
    <t xml:space="preserve">NOT COVERED — Search: data structures in java from scratch (linked list, BST, heap, graph)</t>
  </si>
  <si>
    <t xml:space="preserve">Algorithms in Java</t>
  </si>
  <si>
    <t xml:space="preserve">Sorting, searching, recursion, backtracking, DP, greedy</t>
  </si>
  <si>
    <t xml:space="preserve">NOT COVERED — Partial: E has only basic logic programs. Search: DSA in Java playlist</t>
  </si>
  <si>
    <t xml:space="preserve">Java built-ins for DSA</t>
  </si>
  <si>
    <t xml:space="preserve">PriorityQueue with comparators, Deque, TreeMap floor/ceiling, BitSet</t>
  </si>
  <si>
    <t xml:space="preserve">NOT COVERED — Search: java TreeMap floorKey ceilingKey; java BitSet; PriorityQueue comparator</t>
  </si>
  <si>
    <t xml:space="preserve">14 · Revision</t>
  </si>
  <si>
    <t xml:space="preserve">Interview MCQs &amp; Q&amp;A</t>
  </si>
  <si>
    <t xml:space="preserve">MCQs, output-prediction, FAQ revision</t>
  </si>
  <si>
    <t xml:space="preserve">#73 Exception Handling | try catch finally blocks (1h 35m 10s)
#93 Stream API in JAVA | All Stream API Methods &amp; Operations (2h 40m 23s)</t>
  </si>
  <si>
    <t xml:space="preserve">▶ 5 videos: #46–47, #84, #169, #224  (~1.8 h)
Starts with: Part-1 Java Basic MCQs | Java MCQ's Questions and Answers (Hindi)</t>
  </si>
  <si>
    <t xml:space="preserve">Summary</t>
  </si>
  <si>
    <t xml:space="preserve">Playlists</t>
  </si>
  <si>
    <t xml:space="preserve">Key</t>
  </si>
  <si>
    <t xml:space="preserve">Playlist</t>
  </si>
  <si>
    <t xml:space="preserve">Channel</t>
  </si>
  <si>
    <t xml:space="preserve">Videos</t>
  </si>
  <si>
    <t xml:space="preserve">Total hours</t>
  </si>
  <si>
    <t xml:space="preserve">Roadmap topics covered</t>
  </si>
  <si>
    <t xml:space="preserve">% of roadmap covered</t>
  </si>
  <si>
    <t xml:space="preserve">A</t>
  </si>
  <si>
    <t xml:space="preserve">Complete Java Programming Course 2026</t>
  </si>
  <si>
    <t xml:space="preserve">Engineering Digest</t>
  </si>
  <si>
    <t xml:space="preserve">B</t>
  </si>
  <si>
    <t xml:space="preserve">JAVA 21 – Free Full Course</t>
  </si>
  <si>
    <t xml:space="preserve">Dilip IT Academy</t>
  </si>
  <si>
    <t xml:space="preserve">C</t>
  </si>
  <si>
    <t xml:space="preserve">Java from Basics to Advanced</t>
  </si>
  <si>
    <t xml:space="preserve">Concept &amp;&amp; Coding (Shrayansh)</t>
  </si>
  <si>
    <t xml:space="preserve">D</t>
  </si>
  <si>
    <t xml:space="preserve">Java Full Course 2026</t>
  </si>
  <si>
    <t xml:space="preserve">Coder Army</t>
  </si>
  <si>
    <t xml:space="preserve">E</t>
  </si>
  <si>
    <t xml:space="preserve">Java Programming – 2026</t>
  </si>
  <si>
    <t xml:space="preserve">Learn Coding</t>
  </si>
  <si>
    <t xml:space="preserve">All</t>
  </si>
  <si>
    <t xml:space="preserve">↑ total roadmap topics</t>
  </si>
  <si>
    <t xml:space="preserve">Your progress</t>
  </si>
  <si>
    <t xml:space="preserve">Metric</t>
  </si>
  <si>
    <t xml:space="preserve">Count</t>
  </si>
  <si>
    <t xml:space="preserve">% of topics</t>
  </si>
  <si>
    <t xml:space="preserve">In progress</t>
  </si>
  <si>
    <t xml:space="preserve">Done</t>
  </si>
  <si>
    <t xml:space="preserve">★ Critical topics done</t>
  </si>
  <si>
    <t xml:space="preserve">★ Critical topics total</t>
  </si>
  <si>
    <t xml:space="preserve">Gaps</t>
  </si>
  <si>
    <t xml:space="preserve">Topics covered by none of the 5 playlists</t>
  </si>
  <si>
    <t xml:space="preserve">…of which ★ Critical</t>
  </si>
  <si>
    <t xml:space="preserve">Topics covered by only 1 playlist</t>
  </si>
  <si>
    <t xml:space="preserve">Topics covered by 3+ playlists</t>
  </si>
  <si>
    <t xml:space="preserve">Notes</t>
  </si>
  <si>
    <t xml:space="preserve">• Videos were mapped to topics by title only. Long masterclass videos (A#33 ≈ 3h55m multithreading, A#36 ≈ 7h49m collections + streams) are listed under every topic their title names, so check their chapters.</t>
  </si>
  <si>
    <t xml:space="preserve">• A video can appear under several topics. Counts of 'topics covered' therefore overlap with video counts.</t>
  </si>
  <si>
    <t xml:space="preserve">• Change a topic's Status on the Roadmap sheet (dropdown) and this sheet updates.</t>
  </si>
  <si>
    <t xml:space="preserve">Video (click to open)</t>
  </si>
  <si>
    <t xml:space="preserve">Duration</t>
  </si>
  <si>
    <t xml:space="preserve">Minutes</t>
  </si>
  <si>
    <t xml:space="preserve">Roadmap #</t>
  </si>
  <si>
    <t xml:space="preserve">Mapped to topic(s)</t>
  </si>
  <si>
    <t xml:space="preserve">A · Engineering Digest</t>
  </si>
  <si>
    <t xml:space="preserve">How to Install Java OpenJDK on Windows 11</t>
  </si>
  <si>
    <t xml:space="preserve">11m 48s</t>
  </si>
  <si>
    <t xml:space="preserve">3</t>
  </si>
  <si>
    <t xml:space="preserve">What is JDK, JVM, JRE, javac, Byte code, JIT ? Complete Execution Process !</t>
  </si>
  <si>
    <t xml:space="preserve">12m 23s</t>
  </si>
  <si>
    <t xml:space="preserve">4, 119, 120</t>
  </si>
  <si>
    <t xml:space="preserve">JDK vs JRE vs JVM, compile &amp; run flow; JIT &amp; execution; Bytecode &amp; class files</t>
  </si>
  <si>
    <t xml:space="preserve">Install IntelliJ IDEA in 5 Minutes! 🚀 Easiest Way for Beginners (2026 Windows Guide)</t>
  </si>
  <si>
    <t xml:space="preserve">4m 55s</t>
  </si>
  <si>
    <t xml:space="preserve">Understanding the skeleton of a Java Program | What is main method in Java ?</t>
  </si>
  <si>
    <t xml:space="preserve">10m 2s</t>
  </si>
  <si>
    <t xml:space="preserve">5</t>
  </si>
  <si>
    <t xml:space="preserve">Primitive Data Types in Java in Hindi | Byte, Short, Int, Long, Float, Double, Char &amp; Boolean</t>
  </si>
  <si>
    <t xml:space="preserve">57m 9s</t>
  </si>
  <si>
    <t xml:space="preserve">6</t>
  </si>
  <si>
    <t xml:space="preserve">Java Essentials: How to Properly Name Your Variables</t>
  </si>
  <si>
    <t xml:space="preserve">8m 10s</t>
  </si>
  <si>
    <t xml:space="preserve">8</t>
  </si>
  <si>
    <t xml:space="preserve">Become a Math Wiz: Understanding Arithmetic Operators – From Basics to Advanced!</t>
  </si>
  <si>
    <t xml:space="preserve">31m 18s</t>
  </si>
  <si>
    <t xml:space="preserve">10</t>
  </si>
  <si>
    <t xml:space="preserve">Bitwise operators in Java | and, or, not, xor, left shift, right shift &amp; unsigned right shift</t>
  </si>
  <si>
    <t xml:space="preserve">17m 40s</t>
  </si>
  <si>
    <t xml:space="preserve">11</t>
  </si>
  <si>
    <t xml:space="preserve">Println vs Print vs Printf in Java</t>
  </si>
  <si>
    <t xml:space="preserve">20m 49s</t>
  </si>
  <si>
    <t xml:space="preserve">12</t>
  </si>
  <si>
    <t xml:space="preserve">Java Strings Explained: Understanding String Data Types, Heap Storage, and String Pool</t>
  </si>
  <si>
    <t xml:space="preserve">18m 38s</t>
  </si>
  <si>
    <t xml:space="preserve">23</t>
  </si>
  <si>
    <t xml:space="preserve">Master Java String Methods: A Comprehensive Guide for Beginners</t>
  </si>
  <si>
    <t xml:space="preserve">26m 8s</t>
  </si>
  <si>
    <t xml:space="preserve">24</t>
  </si>
  <si>
    <t xml:space="preserve">How to Use Conditional Statements in Java: If, Else If, Else, Switch case</t>
  </si>
  <si>
    <t xml:space="preserve">32m 22s</t>
  </si>
  <si>
    <t xml:space="preserve">13</t>
  </si>
  <si>
    <t xml:space="preserve">Java Loops Explained: For, While, and Do-While Loops</t>
  </si>
  <si>
    <t xml:space="preserve">30m 54s</t>
  </si>
  <si>
    <t xml:space="preserve">14</t>
  </si>
  <si>
    <t xml:space="preserve">Mastering Java Arrays: 1D, 2D, and Jagged Arrays Explained</t>
  </si>
  <si>
    <t xml:space="preserve">34m 41s</t>
  </si>
  <si>
    <t xml:space="preserve">15</t>
  </si>
  <si>
    <t xml:space="preserve">Master OOP in Java: Encapsulation, Abstraction, Polymorphism &amp; Inheritance Explained in 20 Minutes</t>
  </si>
  <si>
    <t xml:space="preserve">22m 47s</t>
  </si>
  <si>
    <t xml:space="preserve">27</t>
  </si>
  <si>
    <t xml:space="preserve">Methods in Java | Overloading | Signature | Mutability</t>
  </si>
  <si>
    <t xml:space="preserve">29m 38s</t>
  </si>
  <si>
    <t xml:space="preserve">19, 35</t>
  </si>
  <si>
    <t xml:space="preserve">Methods; Overloading vs overriding</t>
  </si>
  <si>
    <t xml:space="preserve">Easiest Way to Learn Recursion: Beginner-Friendly Guide</t>
  </si>
  <si>
    <t xml:space="preserve">13m 23s</t>
  </si>
  <si>
    <t xml:space="preserve">20</t>
  </si>
  <si>
    <t xml:space="preserve">Understand Packages and Classpath in 15 minutes</t>
  </si>
  <si>
    <t xml:space="preserve">16m 26s</t>
  </si>
  <si>
    <t xml:space="preserve">41</t>
  </si>
  <si>
    <t xml:space="preserve">Encapsulation in Java in 15 minutes</t>
  </si>
  <si>
    <t xml:space="preserve">16m 49s</t>
  </si>
  <si>
    <t xml:space="preserve">32</t>
  </si>
  <si>
    <t xml:space="preserve">What are constructors in Java ?</t>
  </si>
  <si>
    <t xml:space="preserve">8m</t>
  </si>
  <si>
    <t xml:space="preserve">29</t>
  </si>
  <si>
    <t xml:space="preserve">Inheritance in Java | Method Overriding | super keyword</t>
  </si>
  <si>
    <t xml:space="preserve">34m 36s</t>
  </si>
  <si>
    <t xml:space="preserve">34</t>
  </si>
  <si>
    <t xml:space="preserve">Polymorphism: Compile Time vs Run Time ( Dynamic Method Dispatch )</t>
  </si>
  <si>
    <t xml:space="preserve">14m 45s</t>
  </si>
  <si>
    <t xml:space="preserve">35, 36</t>
  </si>
  <si>
    <t xml:space="preserve">Overloading vs overriding; Polymorphism</t>
  </si>
  <si>
    <t xml:space="preserve">Abstraction in Java | Abstract Class | Abstract Method</t>
  </si>
  <si>
    <t xml:space="preserve">19m 35s</t>
  </si>
  <si>
    <t xml:space="preserve">38</t>
  </si>
  <si>
    <t xml:space="preserve">Access Modifiers: Public, Private, Default &amp; Protected</t>
  </si>
  <si>
    <t xml:space="preserve">25m 11s</t>
  </si>
  <si>
    <t xml:space="preserve">33</t>
  </si>
  <si>
    <t xml:space="preserve">Mastering Static in Java: Static variable, method &amp; block</t>
  </si>
  <si>
    <t xml:space="preserve">18m 50s</t>
  </si>
  <si>
    <t xml:space="preserve">42</t>
  </si>
  <si>
    <t xml:space="preserve">Mastering the Final Keyword in Java: Everything You Need to Know!</t>
  </si>
  <si>
    <t xml:space="preserve">10m 36s</t>
  </si>
  <si>
    <t xml:space="preserve">43</t>
  </si>
  <si>
    <t xml:space="preserve">Mastering Java Interfaces: Static &amp; Default Methods, Multiple Inheritance Explained</t>
  </si>
  <si>
    <t xml:space="preserve">26m 6s</t>
  </si>
  <si>
    <t xml:space="preserve">39</t>
  </si>
  <si>
    <t xml:space="preserve">Exploring Inner Classes in Java: Static, Member, Local, and Anonymous Types</t>
  </si>
  <si>
    <t xml:space="preserve">35m 25s</t>
  </si>
  <si>
    <t xml:space="preserve">45</t>
  </si>
  <si>
    <t xml:space="preserve">Master Exceptions in Java: Try, Catch, Finally, Throw, Throws, try-with-resources &amp; Custom Exception</t>
  </si>
  <si>
    <t xml:space="preserve">52m 21s</t>
  </si>
  <si>
    <t xml:space="preserve">55, 56, 57, 58, 59</t>
  </si>
  <si>
    <t xml:space="preserve">Exception hierarchy; try / catch / finally; throw vs throws &amp; propagation; try-with-resources; Custom exceptions</t>
  </si>
  <si>
    <t xml:space="preserve">Mastering Wrapper Classes in Java: Autoboxing, Autounboxing, Methods Explained</t>
  </si>
  <si>
    <t xml:space="preserve">16m 18s</t>
  </si>
  <si>
    <t xml:space="preserve">50</t>
  </si>
  <si>
    <t xml:space="preserve">Master Math in Java: Min, Max, Ceil, Floor, Round, Random, Pi, Log, Sin, Cos &amp; More!</t>
  </si>
  <si>
    <t xml:space="preserve">10m 25s</t>
  </si>
  <si>
    <t xml:space="preserve">54</t>
  </si>
  <si>
    <t xml:space="preserve">Understanding Enums in Java: Internal working, toString, values, ordinal, valueOf &amp; much more !</t>
  </si>
  <si>
    <t xml:space="preserve">24m 39s</t>
  </si>
  <si>
    <t xml:space="preserve">51</t>
  </si>
  <si>
    <t xml:space="preserve">Java Multithreading: Synchronization, Locks, Executors, Deadlock, CountdownLatch &amp; CompletableFuture</t>
  </si>
  <si>
    <t xml:space="preserve">3h 55m 41s</t>
  </si>
  <si>
    <t xml:space="preserve">91, 94, 97, 99, 101, 104, 106</t>
  </si>
  <si>
    <t xml:space="preserve">Process vs thread, creation, lifecycle; synchronized; Deadlock, livelock, starvation; Explicit locks; Synchronizers; Executor framework &amp; thread pools; CompletableFuture</t>
  </si>
  <si>
    <t xml:space="preserve">Volatile vs Atomic in Java: Thread Safety Explained</t>
  </si>
  <si>
    <t xml:space="preserve">11m 46s</t>
  </si>
  <si>
    <t xml:space="preserve">96</t>
  </si>
  <si>
    <t xml:space="preserve">Java Generics Explained: Classes, Methods, Interfaces, Enums, &amp; Exceptions | Full Tutorial</t>
  </si>
  <si>
    <t xml:space="preserve">58m 13s</t>
  </si>
  <si>
    <t xml:space="preserve">62</t>
  </si>
  <si>
    <t xml:space="preserve">Complete Java Collections Framework &amp; Streams Masterclass 2026</t>
  </si>
  <si>
    <t xml:space="preserve">7h 49m 16s</t>
  </si>
  <si>
    <t xml:space="preserve">65, 67, 68, 69, 80</t>
  </si>
  <si>
    <t xml:space="preserve">Collections framework overview; List: ArrayList, LinkedList, Vector, Stack; Set: HashSet, LinkedHashSet, TreeSet; HashMap internals; Streams: creation, intermediate &amp; terminal ops</t>
  </si>
  <si>
    <t xml:space="preserve">Java String vs StringBuilder vs StringBuffer: Best Practices &amp; Performance</t>
  </si>
  <si>
    <t xml:space="preserve">13m 15s</t>
  </si>
  <si>
    <t xml:space="preserve">25</t>
  </si>
  <si>
    <t xml:space="preserve">B · Dilip IT Academy</t>
  </si>
  <si>
    <t xml:space="preserve">JAVA Tutorial | Session 01 | Why Java |  Roadmap &amp; Importance of Java | By Mr. Dilip Singh</t>
  </si>
  <si>
    <t xml:space="preserve">1h 22m 5s</t>
  </si>
  <si>
    <t xml:space="preserve">1</t>
  </si>
  <si>
    <t xml:space="preserve">JAVA Tutorial | Session 02 | Role of Frontend/Backend/ Full Stack Developer  |  Lang. v/s Framework</t>
  </si>
  <si>
    <t xml:space="preserve">1h 20m 57s</t>
  </si>
  <si>
    <t xml:space="preserve">JAVA Tutorial | Session 03 | Importance of Micro Services &amp; Java Language Release &amp; Version Details</t>
  </si>
  <si>
    <t xml:space="preserve">1h 27m</t>
  </si>
  <si>
    <t xml:space="preserve">1, 128</t>
  </si>
  <si>
    <t xml:space="preserve">Orientation: why Java, roles, roadmap; Java versions &amp; LTS releases</t>
  </si>
  <si>
    <t xml:space="preserve">JAVA Tutorial | Session 04 | What is Operating System &amp; Prog.  Lang. | Types of Software Application</t>
  </si>
  <si>
    <t xml:space="preserve">1h 11m 7s</t>
  </si>
  <si>
    <t xml:space="preserve">JAVA Tutorial | Session 05 | Steps of JAVA  / JDK  Installation | Writing, Execution of Java Program</t>
  </si>
  <si>
    <t xml:space="preserve">1h 25m 21s</t>
  </si>
  <si>
    <t xml:space="preserve">JAVA Tutorial | Session 06 | Java Compiler v/s Interpreter | What is JVM | Source Code v/s Byte Code</t>
  </si>
  <si>
    <t xml:space="preserve">1h 28m 24s</t>
  </si>
  <si>
    <t xml:space="preserve">4</t>
  </si>
  <si>
    <t xml:space="preserve">JAVA Tutorial | Session 07 | Features of Java | Platform Dependent vs InDependent | Class v/s Object</t>
  </si>
  <si>
    <t xml:space="preserve">1h 28m 2s</t>
  </si>
  <si>
    <t xml:space="preserve">2, 28</t>
  </si>
  <si>
    <t xml:space="preserve">Java history, features, editions; Classes &amp; objects</t>
  </si>
  <si>
    <t xml:space="preserve">JAVA Tutorial | Session 08 | Implementation of Class | Execution Flow Of Logic From main() Method</t>
  </si>
  <si>
    <t xml:space="preserve">1h 27m 17s</t>
  </si>
  <si>
    <t xml:space="preserve">5, 28</t>
  </si>
  <si>
    <t xml:space="preserve">Program structure &amp; main(); Classes &amp; objects</t>
  </si>
  <si>
    <t xml:space="preserve">JAVA Tutorial | Session 09 |  Overview of Object | Variables &amp; Datatypes | Primitive Datatypes</t>
  </si>
  <si>
    <t xml:space="preserve">1h 25m 7s</t>
  </si>
  <si>
    <t xml:space="preserve">JAVA Tutorial | Session 10 | Primitive Datatypes | Range of Values &amp; Memory Allocation | Examples</t>
  </si>
  <si>
    <t xml:space="preserve">1h 26m 19s</t>
  </si>
  <si>
    <t xml:space="preserve">JAVA Tutorial | Session 11 | Memory of Primitive Datatypes | Categories of Non-Primitive Data Types</t>
  </si>
  <si>
    <t xml:space="preserve">1h 28m 34s</t>
  </si>
  <si>
    <t xml:space="preserve">JAVA Real Time Training - Day 12 | Data Types &amp; Variables in JAVA | By Dilip IT Academy - DIT</t>
  </si>
  <si>
    <t xml:space="preserve">1h 52m 23s</t>
  </si>
  <si>
    <t xml:space="preserve">JAVA Real Time Training Day 13 || Static vs Non-Static  Variables  || By Dilip IT Academy (DIT)</t>
  </si>
  <si>
    <t xml:space="preserve">2h 4m 20s</t>
  </si>
  <si>
    <t xml:space="preserve">8, 42</t>
  </si>
  <si>
    <t xml:space="preserve">Variables, scope, naming, keywords; static keyword</t>
  </si>
  <si>
    <t xml:space="preserve">JAVA Real Time Training - Day 14 | Static V/S Non-Static  Variables  | By Dilip IT Academy - DIT</t>
  </si>
  <si>
    <t xml:space="preserve">1h 24m 31s</t>
  </si>
  <si>
    <t xml:space="preserve">JAVA Real Time Training - Day 15 | Methods in Java | By Dilip IT Academy - DIT</t>
  </si>
  <si>
    <t xml:space="preserve">1h 27m 2s</t>
  </si>
  <si>
    <t xml:space="preserve">19</t>
  </si>
  <si>
    <t xml:space="preserve">JAVA Real Time Training - Day 16 | Methods in Java | By Dilip IT Academy - DIT</t>
  </si>
  <si>
    <t xml:space="preserve">1h 32m 57s</t>
  </si>
  <si>
    <t xml:space="preserve">JAVA Real Time Training - Day 17 | Methods in Java | By Dilip IT Academy - DIT</t>
  </si>
  <si>
    <t xml:space="preserve">1h 29m 47s</t>
  </si>
  <si>
    <t xml:space="preserve">JAVA Real Time Training - Day 18 | How to Access Methods in Java | By Dilip IT Academy - DIT</t>
  </si>
  <si>
    <t xml:space="preserve">1h 33m 36s</t>
  </si>
  <si>
    <t xml:space="preserve">JAVA Real Time Training - Day 19 | String Methods &amp; Operations in Java | By Dilip IT Academy - DIT</t>
  </si>
  <si>
    <t xml:space="preserve">1h 30m 44s</t>
  </si>
  <si>
    <t xml:space="preserve">JAVA Real Time Training - Day 20 | API Documentation &amp; Eclipse IDE Setup | By Dilip IT Academy - DIT</t>
  </si>
  <si>
    <t xml:space="preserve">1h 29m 34s</t>
  </si>
  <si>
    <t xml:space="preserve">3, 135</t>
  </si>
  <si>
    <t xml:space="preserve">Installing JDK &amp; setting up an IDE; Javadoc &amp; API docs</t>
  </si>
  <si>
    <t xml:space="preserve">JAVA Real Time Training - Day 21 | packages in Java | By Dilip IT Academy - DIT</t>
  </si>
  <si>
    <t xml:space="preserve">1h 32m 56s</t>
  </si>
  <si>
    <t xml:space="preserve">JAVA Real Time Training - Day 22 | package &amp; import in Java | By Dilip IT Academy - DIT</t>
  </si>
  <si>
    <t xml:space="preserve">1h 34m 29s</t>
  </si>
  <si>
    <t xml:space="preserve">JAVA Real Time Training - Day 23 |Naming Conventions in Java | By Dilip IT Academy - DIT</t>
  </si>
  <si>
    <t xml:space="preserve">1h 33m 53s</t>
  </si>
  <si>
    <t xml:space="preserve">JAVA Real Time Training - Day 24 | Types of Operators in Java | By Dilip IT Academy - DIT</t>
  </si>
  <si>
    <t xml:space="preserve">1h 31m 53s</t>
  </si>
  <si>
    <t xml:space="preserve">JAVA Real Time Training - Day 25 |Types of Operators In Java | By Dilip IT Academy - DIT</t>
  </si>
  <si>
    <t xml:space="preserve">1h 42m 43s</t>
  </si>
  <si>
    <t xml:space="preserve">JAVA Real Time Training - Day 26 |Operators In Java | By Dilip IT Academy - DIT</t>
  </si>
  <si>
    <t xml:space="preserve">1h 25m 54s</t>
  </si>
  <si>
    <t xml:space="preserve">JAVA Real Time Training - Day 27 | Control Flow Statements | By Dilip Singh - Dilip IT</t>
  </si>
  <si>
    <t xml:space="preserve">1h 36m 35s</t>
  </si>
  <si>
    <t xml:space="preserve">JAVA Real Time Training - Day 28 | Control Statements In Java | By Dilip IT Academy - DIT</t>
  </si>
  <si>
    <t xml:space="preserve">1h 19m 2s</t>
  </si>
  <si>
    <t xml:space="preserve">JAVA Real Time Training - Day 29 |Switch Statement In Java | By Dilip IT Academy - DIT</t>
  </si>
  <si>
    <t xml:space="preserve">1h 41m 33s</t>
  </si>
  <si>
    <t xml:space="preserve">JAVA Real Time Training - Day 30 | Looping Statements In Java | By Dilip IT Academy - DIT</t>
  </si>
  <si>
    <t xml:space="preserve">1h 41m 3s</t>
  </si>
  <si>
    <t xml:space="preserve">JAVA Real Time Training - Day 31 |Looping Statements In Java | By Dilip IT Academy - DIT</t>
  </si>
  <si>
    <t xml:space="preserve">1h 28m 29s</t>
  </si>
  <si>
    <t xml:space="preserve">JAVA Real Time Training - Day 32 |Branching Statements In Java | By Dilip IT Academy - DIT</t>
  </si>
  <si>
    <t xml:space="preserve">1h 24m 40s</t>
  </si>
  <si>
    <t xml:space="preserve">JAVA Real Time Training - Day 33 | User Dynamic Input of Data In Java | By Dilip IT Academy - DIT</t>
  </si>
  <si>
    <t xml:space="preserve">1h 37m 10s</t>
  </si>
  <si>
    <t xml:space="preserve">JAVA Real Time Training - Day 34 | Constructors In Java | By Dilip IT Academy - DIT</t>
  </si>
  <si>
    <t xml:space="preserve">1h 25m 56s</t>
  </si>
  <si>
    <t xml:space="preserve">JAVA Real Time Training - Day 35 | Constructors &amp; Types of Constructors In Java |Dilip Singh</t>
  </si>
  <si>
    <t xml:space="preserve">1h 29m 48s</t>
  </si>
  <si>
    <t xml:space="preserve">JAVA Real Time Training - Day 36 | Arrays In Java | By Dilip IT Academy - DIT</t>
  </si>
  <si>
    <t xml:space="preserve">1h 37m 37s</t>
  </si>
  <si>
    <t xml:space="preserve">JAVA Real Time Training - Day 37 | Arrays &amp; Array Operations In Java | By Dilip IT Academy - DIT</t>
  </si>
  <si>
    <t xml:space="preserve">1h 41m 16s</t>
  </si>
  <si>
    <t xml:space="preserve">15, 16</t>
  </si>
  <si>
    <t xml:space="preserve">Arrays: 1D, 2D, jagged; Array operations &amp; Arrays class</t>
  </si>
  <si>
    <t xml:space="preserve">JAVA Real Time Training - Day 38 | Arrays &amp; Array Operations In Java | By Dilip IT Academy - DIT</t>
  </si>
  <si>
    <t xml:space="preserve">1h 39m 46s</t>
  </si>
  <si>
    <t xml:space="preserve">JAVA Real Time Training - Day 39 |Command Line Arguments In Java | By Dilip IT Academy - DIT</t>
  </si>
  <si>
    <t xml:space="preserve">1h 28m 55s</t>
  </si>
  <si>
    <t xml:space="preserve">18</t>
  </si>
  <si>
    <t xml:space="preserve">JAVA Real Time Training - Day 40 |Wrapper Classes In Java | By Dilip IT Academy - DIT</t>
  </si>
  <si>
    <t xml:space="preserve">1h 33m 41s</t>
  </si>
  <si>
    <t xml:space="preserve">JAVA Real Time Training - Day 41 |Inheritence &amp; Types of Inheritence In Java | By Dilip IT Academy</t>
  </si>
  <si>
    <t xml:space="preserve">1h 28m 5s</t>
  </si>
  <si>
    <t xml:space="preserve">JAVA Real Time Training - Day 42 | Inheritence  &amp; Types of Inheritence In Java | By Dilip Singh</t>
  </si>
  <si>
    <t xml:space="preserve">1h 20m 10s</t>
  </si>
  <si>
    <t xml:space="preserve">JAVA Real Time Training - Day 43 | Implementation of Inheritence With Examples | Dilip Singh</t>
  </si>
  <si>
    <t xml:space="preserve">1h 36m 2s</t>
  </si>
  <si>
    <t xml:space="preserve">JAVA Real Time Training - Day 44 | Abstraction in Java | Interfaces in Java | Dilip Singh</t>
  </si>
  <si>
    <t xml:space="preserve">1h 29m 17s</t>
  </si>
  <si>
    <t xml:space="preserve">38, 39</t>
  </si>
  <si>
    <t xml:space="preserve">Abstraction: abstract classes &amp; methods; Interfaces</t>
  </si>
  <si>
    <t xml:space="preserve">JAVA Real Time Training - Day 45 | Interfaces &amp; Implementation of Classes | Interface v/s Class</t>
  </si>
  <si>
    <t xml:space="preserve">1h 25m 10s</t>
  </si>
  <si>
    <t xml:space="preserve">JAVA Real Time Training - Day 46 | Interfaces &amp; Abstract Classes | Interface v/s Abstract Class</t>
  </si>
  <si>
    <t xml:space="preserve">1h 15m 15s</t>
  </si>
  <si>
    <t xml:space="preserve">40</t>
  </si>
  <si>
    <t xml:space="preserve">JAVA Real Time Training - Day 47 |  Types of Inheritance with Interfaces | Multiple Inheritence</t>
  </si>
  <si>
    <t xml:space="preserve">1h 21m 17s</t>
  </si>
  <si>
    <t xml:space="preserve">JAVA Real Time Training - Day 48 | Abstract Classes &amp; Abstract Methods | Interface vs Abstract Class</t>
  </si>
  <si>
    <t xml:space="preserve">1h 35m 50s</t>
  </si>
  <si>
    <t xml:space="preserve">38, 40</t>
  </si>
  <si>
    <t xml:space="preserve">Abstraction: abstract classes &amp; methods; Interface vs abstract class</t>
  </si>
  <si>
    <t xml:space="preserve">JAVA Real Time Training - Day 49 | Abstract Classes &amp; Abstract Methods| Interface v/s Abstract Class</t>
  </si>
  <si>
    <t xml:space="preserve">1h 37m 5s</t>
  </si>
  <si>
    <t xml:space="preserve">JAVA Real Time Training - Day 50 | Method Overloading &amp; Method Overriding | Polymorphism</t>
  </si>
  <si>
    <t xml:space="preserve">1h 29m 38s</t>
  </si>
  <si>
    <t xml:space="preserve">35</t>
  </si>
  <si>
    <t xml:space="preserve">JAVA Real Time Training - Day 51 | Method Overriding | Real Time Examples of Method Overriding</t>
  </si>
  <si>
    <t xml:space="preserve">1h 31m 11s</t>
  </si>
  <si>
    <t xml:space="preserve">JAVA Real Time Training - Day 52 | final class &amp; final methods | abstract class vs final class | FAQ</t>
  </si>
  <si>
    <t xml:space="preserve">1h 28m 37s</t>
  </si>
  <si>
    <t xml:space="preserve">JAVA Real Time Training - Day 53 | this &amp; super keywords |  Difference between this &amp;  super | Dilip</t>
  </si>
  <si>
    <t xml:space="preserve">1h 37m 34s</t>
  </si>
  <si>
    <t xml:space="preserve">31</t>
  </si>
  <si>
    <t xml:space="preserve">JAVA Real Time Training - Day 54 | this &amp; super keywords |  Difference between this &amp;  super | Dilip</t>
  </si>
  <si>
    <t xml:space="preserve">1h 36m 16s</t>
  </si>
  <si>
    <t xml:space="preserve">JAVA Real Time Training - Day 55 | this &amp; super keywords |  Difference between this &amp;  super | Dilip</t>
  </si>
  <si>
    <t xml:space="preserve">1h 24m 25s</t>
  </si>
  <si>
    <t xml:space="preserve">JAVA Real Time Training - Day 56 | polymorphism | compiletime/static &amp; runtime/dynamic polymorphism</t>
  </si>
  <si>
    <t xml:space="preserve">1h 32m 30s</t>
  </si>
  <si>
    <t xml:space="preserve">36</t>
  </si>
  <si>
    <t xml:space="preserve">JAVA Real Time Training - Day 57 | polymorphism | compiletime/static &amp; runtime/dynamic polymorphism</t>
  </si>
  <si>
    <t xml:space="preserve">1h 8m 9s</t>
  </si>
  <si>
    <t xml:space="preserve">JAVA Real Time Training - Day 58 | Access Specifiers | Access Modifiers | Scenarios &amp; Examples</t>
  </si>
  <si>
    <t xml:space="preserve">50m</t>
  </si>
  <si>
    <t xml:space="preserve">JAVA Real Time Training - Day 59 | Encapsulation in Java | Data Binding in Java</t>
  </si>
  <si>
    <t xml:space="preserve">1h 27m 15s</t>
  </si>
  <si>
    <t xml:space="preserve">JAVA Real Time Training - Day 60 | POJO class Implementation | Setter &amp; Getter Methods | DTO Class</t>
  </si>
  <si>
    <t xml:space="preserve">1h 23m 34s</t>
  </si>
  <si>
    <t xml:space="preserve">49</t>
  </si>
  <si>
    <t xml:space="preserve">JAVA Real Time Training - Day 61 | Object class | Object Class Methods | Importance of Object Class</t>
  </si>
  <si>
    <t xml:space="preserve">1h 31m 13s</t>
  </si>
  <si>
    <t xml:space="preserve">46</t>
  </si>
  <si>
    <t xml:space="preserve">JAVA Real Time Training - Day 62 | Object class | equals() &amp; hashcode() contract |scenarios|examples</t>
  </si>
  <si>
    <t xml:space="preserve">1h 32m 28s</t>
  </si>
  <si>
    <t xml:space="preserve">JAVA Real Time Training - Day 63 | Type Casting | Implicit &amp; Explicit Type Casting</t>
  </si>
  <si>
    <t xml:space="preserve">1h 30m 55s</t>
  </si>
  <si>
    <t xml:space="preserve">9</t>
  </si>
  <si>
    <t xml:space="preserve">JAVA Real Time Training - Day 64 | default &amp; static Methods in Interfaces | Backward Compatability</t>
  </si>
  <si>
    <t xml:space="preserve">1h 28m 39s</t>
  </si>
  <si>
    <t xml:space="preserve">JAVA Real Time Training - Day 65 | default &amp; static Methods in Interfaces | Practical Examples</t>
  </si>
  <si>
    <t xml:space="preserve">1h 27m 44s</t>
  </si>
  <si>
    <t xml:space="preserve">Mastering Java Applications Debugging | Step-by-Step Guide | Debug Mode | Break Points | Dilip Singh</t>
  </si>
  <si>
    <t xml:space="preserve">1h 29m 41s</t>
  </si>
  <si>
    <t xml:space="preserve">131</t>
  </si>
  <si>
    <t xml:space="preserve">JAVA Real Time Training - Day 66 | Annotations | Declaring Annotations | Custom Annotation</t>
  </si>
  <si>
    <t xml:space="preserve">1h 30m 41s</t>
  </si>
  <si>
    <t xml:space="preserve">111</t>
  </si>
  <si>
    <t xml:space="preserve">JAVA Real Time Training - Day 67 | Functional Interfaces | Lambda Expressions</t>
  </si>
  <si>
    <t xml:space="preserve">1h 36m 57s</t>
  </si>
  <si>
    <t xml:space="preserve">76, 77</t>
  </si>
  <si>
    <t xml:space="preserve">Lambda expressions; Functional interfaces</t>
  </si>
  <si>
    <t xml:space="preserve">JAVA Real Time Training - Day 68 | Functional Interfaces | Lambda Expressions Implementation</t>
  </si>
  <si>
    <t xml:space="preserve">1h 18m 43s</t>
  </si>
  <si>
    <t xml:space="preserve">JAVA Real Time Training - Day 69 | Lambda Exp. Examples | Exception Handling | Exception vs Error</t>
  </si>
  <si>
    <t xml:space="preserve">1h 31m 12s</t>
  </si>
  <si>
    <t xml:space="preserve">55, 76</t>
  </si>
  <si>
    <t xml:space="preserve">Exception hierarchy; Lambda expressions</t>
  </si>
  <si>
    <t xml:space="preserve">JAVA Real Time Training - Day 70 | Exception Handling | Exception Classes | NullPointerException</t>
  </si>
  <si>
    <t xml:space="preserve">55</t>
  </si>
  <si>
    <t xml:space="preserve">JAVA Course - Session 71 | Exception Handling | Types of Exceptions | try catch finally blocks</t>
  </si>
  <si>
    <t xml:space="preserve">1h 35m 43s</t>
  </si>
  <si>
    <t xml:space="preserve">56</t>
  </si>
  <si>
    <t xml:space="preserve">JAVA Course - Session 72 | Exception Handling | try catch finally blocks | Interview FAQ's</t>
  </si>
  <si>
    <t xml:space="preserve">1h 35m 10s</t>
  </si>
  <si>
    <t xml:space="preserve">56, 141</t>
  </si>
  <si>
    <t xml:space="preserve">try / catch / finally; Interview MCQs &amp; Q&amp;A</t>
  </si>
  <si>
    <t xml:space="preserve">JAVA Course - Session 73 | Exception Handling | try catch finally blocks | Interview FAQ's</t>
  </si>
  <si>
    <t xml:space="preserve">1h 30m 49s</t>
  </si>
  <si>
    <t xml:space="preserve">JAVA Course - Session 74 | Exception Handling |  finally blocks | throws &amp; throw keywords</t>
  </si>
  <si>
    <t xml:space="preserve">1h 35m 25s</t>
  </si>
  <si>
    <t xml:space="preserve">57</t>
  </si>
  <si>
    <t xml:space="preserve">JAVA Course - Session 75 | Exception Handling |throws v/s throw | UserDefined/Custom Exception</t>
  </si>
  <si>
    <t xml:space="preserve">1h 42m 52s</t>
  </si>
  <si>
    <t xml:space="preserve">57, 59</t>
  </si>
  <si>
    <t xml:space="preserve">throw vs throws &amp; propagation; Custom exceptions</t>
  </si>
  <si>
    <t xml:space="preserve">JAVA Course - Session 76 | Collections Framework |  Interfaces &amp; Classes | Examples | FAQ's</t>
  </si>
  <si>
    <t xml:space="preserve">1h 30m 25s</t>
  </si>
  <si>
    <t xml:space="preserve">65</t>
  </si>
  <si>
    <t xml:space="preserve">JAVA Course - Session 77 | Collections Framework |  List Interface &amp; Impl. Classes | Generics</t>
  </si>
  <si>
    <t xml:space="preserve">1h 33m 58s</t>
  </si>
  <si>
    <t xml:space="preserve">62, 67</t>
  </si>
  <si>
    <t xml:space="preserve">Generic classes, methods, interfaces; List: ArrayList, LinkedList, Vector, Stack</t>
  </si>
  <si>
    <t xml:space="preserve">JAVA Course - Session 78 | Collections Framework |  List Interface &amp; Impl. Classes | Generics</t>
  </si>
  <si>
    <t xml:space="preserve">1h 26m 20s</t>
  </si>
  <si>
    <t xml:space="preserve">JAVA Course - Session 79 | Collections Framework |  List Interface | ArrayList v/s LinkedList</t>
  </si>
  <si>
    <t xml:space="preserve">1h 23m 8s</t>
  </si>
  <si>
    <t xml:space="preserve">67</t>
  </si>
  <si>
    <t xml:space="preserve">JAVA Course - Session 80 | Collections Framework | List Interface | ArrayList | LinkedList | Vector</t>
  </si>
  <si>
    <t xml:space="preserve">1h 29m 28s</t>
  </si>
  <si>
    <t xml:space="preserve">JAVA Course - Session 81 | Collections Framework |  List |  ArrayList v/s LinkedList v/s Vector</t>
  </si>
  <si>
    <t xml:space="preserve">1h 28m 54s</t>
  </si>
  <si>
    <t xml:space="preserve">JAVA Course - Session 82 | Collections Framework | Set Interface | HashSet &amp; TreeSet | List v/s Set</t>
  </si>
  <si>
    <t xml:space="preserve">1h 35m 38s</t>
  </si>
  <si>
    <t xml:space="preserve">68</t>
  </si>
  <si>
    <t xml:space="preserve">JAVA Course - Session 83 | Collections Framework | Map Interface | HashMap &amp; TreeSet Classes | FAQ's</t>
  </si>
  <si>
    <t xml:space="preserve">1h 28m 12s</t>
  </si>
  <si>
    <t xml:space="preserve">69</t>
  </si>
  <si>
    <t xml:space="preserve">JAVA Course - Session 84 | Collections Framework | Map Interface | HashMap With Custom Objects</t>
  </si>
  <si>
    <t xml:space="preserve">1h 38m 34s</t>
  </si>
  <si>
    <t xml:space="preserve">JAVA Course - Session 85 | Collection Framework | Map Interface | HashMap &amp; TreeMap &amp; HashSet</t>
  </si>
  <si>
    <t xml:space="preserve">1h 11m 15s</t>
  </si>
  <si>
    <t xml:space="preserve">68, 69, 70</t>
  </si>
  <si>
    <t xml:space="preserve">Set: HashSet, LinkedHashSet, TreeSet; HashMap internals; LinkedHashMap, TreeMap &amp; special maps</t>
  </si>
  <si>
    <t xml:space="preserve">JAVA Course - Session 86 | Predicate, Function, Consumer, Supplier | Functional Interfaces</t>
  </si>
  <si>
    <t xml:space="preserve">1h 26m 9s</t>
  </si>
  <si>
    <t xml:space="preserve">77</t>
  </si>
  <si>
    <t xml:space="preserve">JAVA Course - Session 87 | Predicate, Function, Consumer, Supplier | Functional Interfaces</t>
  </si>
  <si>
    <t xml:space="preserve">1h 19m 48s</t>
  </si>
  <si>
    <t xml:space="preserve">JAVA Course - Session 88 | Stream API | Operations | Methods | FAQ's</t>
  </si>
  <si>
    <t xml:space="preserve">1h 27m 52s</t>
  </si>
  <si>
    <t xml:space="preserve">80</t>
  </si>
  <si>
    <t xml:space="preserve">JAVA Course - Session 89 | Stream API | Stream Pipeline | Intermediate &amp; Terminal Operations</t>
  </si>
  <si>
    <t xml:space="preserve">1h 29m 9s</t>
  </si>
  <si>
    <t xml:space="preserve">Method References  in JAVA | Constructor References in JAVA | Dilip Singh</t>
  </si>
  <si>
    <t xml:space="preserve">1h 8m 16s</t>
  </si>
  <si>
    <t xml:space="preserve">78</t>
  </si>
  <si>
    <t xml:space="preserve">Optional Class In Java &amp; Optional Class Methods in JAVA | Tutorail | Dilip Singh</t>
  </si>
  <si>
    <t xml:space="preserve">1h 54m</t>
  </si>
  <si>
    <t xml:space="preserve">79</t>
  </si>
  <si>
    <t xml:space="preserve">Stream API in JAVA | All Stream API Methods &amp; Operations | Stream API Interview Questions</t>
  </si>
  <si>
    <t xml:space="preserve">2h 40m 23s</t>
  </si>
  <si>
    <t xml:space="preserve">80, 141</t>
  </si>
  <si>
    <t xml:space="preserve">Streams: creation, intermediate &amp; terminal ops; Interview MCQs &amp; Q&amp;A</t>
  </si>
  <si>
    <t xml:space="preserve">JAVA Course - Session 90 | Stream API | Stream Pipeline | Collectors Class | collect() | Grouping</t>
  </si>
  <si>
    <t xml:space="preserve">50m 49s</t>
  </si>
  <si>
    <t xml:space="preserve">81</t>
  </si>
  <si>
    <t xml:space="preserve">JAVA Course - Session 91 | Stream API | Stream Pipeline | Collectors Class Methods | collect()</t>
  </si>
  <si>
    <t xml:space="preserve">1h 2m 25s</t>
  </si>
  <si>
    <t xml:space="preserve">JAVA Course - Session 92 | Optional Class &amp; Methods | Use Cases | Interview FAQ's | Part 01</t>
  </si>
  <si>
    <t xml:space="preserve">1h 4m 20s</t>
  </si>
  <si>
    <t xml:space="preserve">JAVA Course - Session 93 | Optional Class &amp; Methods | Use Cases | FAQ's |  Part 02</t>
  </si>
  <si>
    <t xml:space="preserve">59m 42s</t>
  </si>
  <si>
    <t xml:space="preserve">JAVA Course - Session 95 | Constructor References | ENUM | Enumeration in Java</t>
  </si>
  <si>
    <t xml:space="preserve">1h 3m 36s</t>
  </si>
  <si>
    <t xml:space="preserve">51, 78</t>
  </si>
  <si>
    <t xml:space="preserve">Enums; Method &amp; constructor references</t>
  </si>
  <si>
    <t xml:space="preserve">JAVA Course - Session 94 | Method &amp; Constructor References | Types of Method Refereences</t>
  </si>
  <si>
    <t xml:space="preserve">1h 9m 24s</t>
  </si>
  <si>
    <t xml:space="preserve">JAVA Course - Session 96 | Threads | Thread Life Cycle | Multi Threading | FAQ's | Part 01</t>
  </si>
  <si>
    <t xml:space="preserve">51m</t>
  </si>
  <si>
    <t xml:space="preserve">91</t>
  </si>
  <si>
    <t xml:space="preserve">JAVA Course - Session 97 | Threads | Thread Life Cycle | Multi Threading | FAQ's | Part 02</t>
  </si>
  <si>
    <t xml:space="preserve">1h 1m 38s</t>
  </si>
  <si>
    <t xml:space="preserve">JAVA Course - Session 98 | Threads |Multi Threading | Synchronized Methods &amp; Blocks |FAQ's | Part 03</t>
  </si>
  <si>
    <t xml:space="preserve">1h 4m 56s</t>
  </si>
  <si>
    <t xml:space="preserve">94</t>
  </si>
  <si>
    <t xml:space="preserve">C · Concept &amp;&amp; Coding (Shrayansh)</t>
  </si>
  <si>
    <t xml:space="preserve">Ultimate Java Basics to Advanced Roadmap | Java Course Roadmap for Beginners | Java learning Roadmap</t>
  </si>
  <si>
    <t xml:space="preserve">4m 42s</t>
  </si>
  <si>
    <t xml:space="preserve">1. OOPs Concept in Java with Examples | 4 Pillars of Object Oriented Programming (OOPs)</t>
  </si>
  <si>
    <t xml:space="preserve">1h 36m 42s</t>
  </si>
  <si>
    <t xml:space="preserve">2. How Java Program Works and its 3 Important Components (JVM, JRE and JDK) with Example</t>
  </si>
  <si>
    <t xml:space="preserve">36m 2s</t>
  </si>
  <si>
    <t xml:space="preserve">3. Quiz Question: Why only 1 Public Class in JAVA file</t>
  </si>
  <si>
    <t xml:space="preserve">6m 16s</t>
  </si>
  <si>
    <t xml:space="preserve">4. Java Variables - Part1 | Primitive Data Types in Depth</t>
  </si>
  <si>
    <t xml:space="preserve">48m 32s</t>
  </si>
  <si>
    <t xml:space="preserve">5. How FLOAT and DOUBLE  Number Stored in Memory?  |  IEEE 754 Representation</t>
  </si>
  <si>
    <t xml:space="preserve">20m 50s</t>
  </si>
  <si>
    <t xml:space="preserve">7</t>
  </si>
  <si>
    <t xml:space="preserve">6. Java Variables - Part2 | Reference/Non-Primitive Data Types in Depth</t>
  </si>
  <si>
    <t xml:space="preserve">42m 51s</t>
  </si>
  <si>
    <t xml:space="preserve">7. Java Methods in Depth | Different Types of Methods with Examples</t>
  </si>
  <si>
    <t xml:space="preserve">1h 1m 10s</t>
  </si>
  <si>
    <t xml:space="preserve">8. Java Constructor in Depth | Different Types of Constructor with Examples</t>
  </si>
  <si>
    <t xml:space="preserve">9. Java Memory Management and Garbage Collection in Depth</t>
  </si>
  <si>
    <t xml:space="preserve">48m 48s</t>
  </si>
  <si>
    <t xml:space="preserve">115, 116</t>
  </si>
  <si>
    <t xml:space="preserve">JVM memory areas; Garbage collection basics</t>
  </si>
  <si>
    <t xml:space="preserve">10. Java Classes in Depth - Part1 | Nested Class, Concrete, Abstract, Object, Super and Sub Class</t>
  </si>
  <si>
    <t xml:space="preserve">50m 21s</t>
  </si>
  <si>
    <t xml:space="preserve">28, 45</t>
  </si>
  <si>
    <t xml:space="preserve">Classes &amp; objects; Nested &amp; inner classes</t>
  </si>
  <si>
    <t xml:space="preserve">11. Java Generic Classes | Java Classes in Depth - Part2</t>
  </si>
  <si>
    <t xml:space="preserve">51m 58s</t>
  </si>
  <si>
    <t xml:space="preserve">12. Java Enum, POJO and Final Classes Explained with Examples | Java Classes in Depth - Part3</t>
  </si>
  <si>
    <t xml:space="preserve">43m 10s</t>
  </si>
  <si>
    <t xml:space="preserve">49, 51</t>
  </si>
  <si>
    <t xml:space="preserve">POJO, DTO, JavaBeans; Enums</t>
  </si>
  <si>
    <t xml:space="preserve">13. Java Singleton and Immutable Class Explained with Examples | Java Classes in Depth - Part4</t>
  </si>
  <si>
    <t xml:space="preserve">28m 26s</t>
  </si>
  <si>
    <t xml:space="preserve">48</t>
  </si>
  <si>
    <t xml:space="preserve">14. Java Interface in Depth - Part1</t>
  </si>
  <si>
    <t xml:space="preserve">44m 56s</t>
  </si>
  <si>
    <t xml:space="preserve">15. Default, Static &amp; Private Method in Interface - Java8 and Java9 features | Java Interfaces Part2</t>
  </si>
  <si>
    <t xml:space="preserve">28m 22s</t>
  </si>
  <si>
    <t xml:space="preserve">16. Functional Interface and Lambda Expression - Java8 features | Java Interfaces Part3</t>
  </si>
  <si>
    <t xml:space="preserve">31m 32s</t>
  </si>
  <si>
    <t xml:space="preserve">17. Java Reflection in Depth (Using Examples)</t>
  </si>
  <si>
    <t xml:space="preserve">38m 2s</t>
  </si>
  <si>
    <t xml:space="preserve">110</t>
  </si>
  <si>
    <t xml:space="preserve">18. Java Annotations with Examples</t>
  </si>
  <si>
    <t xml:space="preserve">1h 10m 42s</t>
  </si>
  <si>
    <t xml:space="preserve">19. Exception Handling in Java with Examples</t>
  </si>
  <si>
    <t xml:space="preserve">1h 14m 41s</t>
  </si>
  <si>
    <t xml:space="preserve">55, 56</t>
  </si>
  <si>
    <t xml:space="preserve">Exception hierarchy; try / catch / finally</t>
  </si>
  <si>
    <t xml:space="preserve">20. Operators in Java | Different Types of Operators in JAVA</t>
  </si>
  <si>
    <t xml:space="preserve">57m 6s</t>
  </si>
  <si>
    <t xml:space="preserve">21. Control Flow Statements in Java | Decision Making, Looping and Branching Statements</t>
  </si>
  <si>
    <t xml:space="preserve">52m 9s</t>
  </si>
  <si>
    <t xml:space="preserve">13, 14</t>
  </si>
  <si>
    <t xml:space="preserve">Conditional statements; Loops &amp; jump statements</t>
  </si>
  <si>
    <t xml:space="preserve">22. Collections in Java - Part1 | Java Collections Framework in depth</t>
  </si>
  <si>
    <t xml:space="preserve">41m 26s</t>
  </si>
  <si>
    <t xml:space="preserve">23. Collections in Java - Part2 | Comparator Vs Comparable | PriorityQueue</t>
  </si>
  <si>
    <t xml:space="preserve">1h 1m 8s</t>
  </si>
  <si>
    <t xml:space="preserve">71, 72</t>
  </si>
  <si>
    <t xml:space="preserve">Queue, Deque, PriorityQueue; Comparable vs Comparator</t>
  </si>
  <si>
    <t xml:space="preserve">24. Collections in Java - Part3 | Deque and List in Depth</t>
  </si>
  <si>
    <t xml:space="preserve">1h 11m 57s</t>
  </si>
  <si>
    <t xml:space="preserve">67, 71</t>
  </si>
  <si>
    <t xml:space="preserve">List: ArrayList, LinkedList, Vector, Stack; Queue, Deque, PriorityQueue</t>
  </si>
  <si>
    <t xml:space="preserve">25. Collections in Java - Part4 | HashMap Internal Working in Java</t>
  </si>
  <si>
    <t xml:space="preserve">58m 11s</t>
  </si>
  <si>
    <t xml:space="preserve">26. Collections in Java - Part5 | LinkedHashMap and TreeMap in depth</t>
  </si>
  <si>
    <t xml:space="preserve">37m 21s</t>
  </si>
  <si>
    <t xml:space="preserve">70</t>
  </si>
  <si>
    <t xml:space="preserve">27. Collections in Java - Part6 | SET</t>
  </si>
  <si>
    <t xml:space="preserve">21m 21s</t>
  </si>
  <si>
    <t xml:space="preserve">28. Streams in Java8 | Collections in Java - Part7</t>
  </si>
  <si>
    <t xml:space="preserve">1h 15m 10s</t>
  </si>
  <si>
    <t xml:space="preserve">29. Multithreading and Concurrency in Java: Part1 | Threads, Process and their Memory Model in depth</t>
  </si>
  <si>
    <t xml:space="preserve">47m 47s</t>
  </si>
  <si>
    <t xml:space="preserve">91, 93</t>
  </si>
  <si>
    <t xml:space="preserve">Process vs thread, creation, lifecycle; Thread-safety problems</t>
  </si>
  <si>
    <t xml:space="preserve">30. Thread Creation, Thread Lifecycle and Inter-Thread Communication | Multithreading in Java: Part2</t>
  </si>
  <si>
    <t xml:space="preserve">1h 8m 18s</t>
  </si>
  <si>
    <t xml:space="preserve">91, 95</t>
  </si>
  <si>
    <t xml:space="preserve">Process vs thread, creation, lifecycle; wait / notify / notifyAll</t>
  </si>
  <si>
    <t xml:space="preserve">31. Thread Joining, Daemon Thread, Thread Priority | Multithreading in Java: Part3</t>
  </si>
  <si>
    <t xml:space="preserve">45m 2s</t>
  </si>
  <si>
    <t xml:space="preserve">92</t>
  </si>
  <si>
    <t xml:space="preserve">32. Locks and Condition | Java Multithreading Part4 | Reentrant, ReadWrite, Stamped &amp; Semaphore Lock</t>
  </si>
  <si>
    <t xml:space="preserve">46m 48s</t>
  </si>
  <si>
    <t xml:space="preserve">99, 101</t>
  </si>
  <si>
    <t xml:space="preserve">Explicit locks; Synchronizers</t>
  </si>
  <si>
    <t xml:space="preserve">33. Lock-Free Concurrency | Compare-and-Swap | Atomic &amp; Volatile Variables | Multithreading Part5</t>
  </si>
  <si>
    <t xml:space="preserve">41m 53s</t>
  </si>
  <si>
    <t xml:space="preserve">96, 100</t>
  </si>
  <si>
    <t xml:space="preserve">volatile vs atomic; Atomics &amp; CAS</t>
  </si>
  <si>
    <t xml:space="preserve">34. Thread Pools in Java | ThreadPoolExecutor Framework | Multithreading Part6</t>
  </si>
  <si>
    <t xml:space="preserve">1h 16m 55s</t>
  </si>
  <si>
    <t xml:space="preserve">104</t>
  </si>
  <si>
    <t xml:space="preserve">35. Java8 CompletableFuture |  Future and Callable in Java | Multithreading in Java - Part7</t>
  </si>
  <si>
    <t xml:space="preserve">1h 6m 2s</t>
  </si>
  <si>
    <t xml:space="preserve">105, 106</t>
  </si>
  <si>
    <t xml:space="preserve">Future &amp; Callable; CompletableFuture</t>
  </si>
  <si>
    <t xml:space="preserve">36. Java ForkJoinPool || WorkStealingPool || FixedThreadPool || CachedThreadPool || SingleThreadPool</t>
  </si>
  <si>
    <t xml:space="preserve">39m 15s</t>
  </si>
  <si>
    <t xml:space="preserve">104, 107</t>
  </si>
  <si>
    <t xml:space="preserve">Executor framework &amp; thread pools; ForkJoinPool &amp; work stealing</t>
  </si>
  <si>
    <t xml:space="preserve">37. Java ScheduledThreadPoolExecutor || Shutdown Vs AwaitTermination || Multithreading in Java</t>
  </si>
  <si>
    <t xml:space="preserve">23m 12s</t>
  </si>
  <si>
    <t xml:space="preserve">38. Java VirtualThreads vs Normal Threads || ThreadLocal in Java</t>
  </si>
  <si>
    <t xml:space="preserve">22m 44s</t>
  </si>
  <si>
    <t xml:space="preserve">103, 108</t>
  </si>
  <si>
    <t xml:space="preserve">ThreadLocal; Virtual threads</t>
  </si>
  <si>
    <t xml:space="preserve">39. Project Lombok in Java in depth | Lombok top 10 features</t>
  </si>
  <si>
    <t xml:space="preserve">27m 37s</t>
  </si>
  <si>
    <t xml:space="preserve">137</t>
  </si>
  <si>
    <t xml:space="preserve">Java 21 : SequencedCollection, SequencedSet and SequencedMap</t>
  </si>
  <si>
    <t xml:space="preserve">38m 20s</t>
  </si>
  <si>
    <t xml:space="preserve">127</t>
  </si>
  <si>
    <t xml:space="preserve">Java 17 : Sealed Classes and Interfaces</t>
  </si>
  <si>
    <t xml:space="preserve">10m 30s</t>
  </si>
  <si>
    <t xml:space="preserve">53</t>
  </si>
  <si>
    <t xml:space="preserve">Java 14: Switch Expressions Deep Dive</t>
  </si>
  <si>
    <t xml:space="preserve">23m 6s</t>
  </si>
  <si>
    <t xml:space="preserve">125</t>
  </si>
  <si>
    <t xml:space="preserve">Java 16: Pattern Matching for instanceof</t>
  </si>
  <si>
    <t xml:space="preserve">8m 49s</t>
  </si>
  <si>
    <t xml:space="preserve">126</t>
  </si>
  <si>
    <t xml:space="preserve">Java 21: Pattern Matching for switch</t>
  </si>
  <si>
    <t xml:space="preserve">18m 40s</t>
  </si>
  <si>
    <t xml:space="preserve">Java 16: Record class</t>
  </si>
  <si>
    <t xml:space="preserve">35m 45s</t>
  </si>
  <si>
    <t xml:space="preserve">52</t>
  </si>
  <si>
    <t xml:space="preserve">Java 15: Text Blocks</t>
  </si>
  <si>
    <t xml:space="preserve">18m 32s</t>
  </si>
  <si>
    <t xml:space="preserve">124</t>
  </si>
  <si>
    <t xml:space="preserve">Master Java Optional from Java 8 to 11 | All Methods with Real Examples</t>
  </si>
  <si>
    <t xml:space="preserve">1h 13m 53s</t>
  </si>
  <si>
    <t xml:space="preserve">Java File Handling Explained | Streams, Buffers, Readers &amp; Writers</t>
  </si>
  <si>
    <t xml:space="preserve">1h 5m</t>
  </si>
  <si>
    <t xml:space="preserve">84</t>
  </si>
  <si>
    <t xml:space="preserve">Java NIO Deep Dive (Part-1): Advantages of NIO over Traditional File I/O</t>
  </si>
  <si>
    <t xml:space="preserve">51m 30s</t>
  </si>
  <si>
    <t xml:space="preserve">85</t>
  </si>
  <si>
    <t xml:space="preserve">Java NIO Deep Dive (Part2): ByteBuffer, HeapByteBuffer, DirectByteBuffer, MappedByteBuffer</t>
  </si>
  <si>
    <t xml:space="preserve">47m 21s</t>
  </si>
  <si>
    <t xml:space="preserve">Java NIO Deep Dive (Part3): FileChannel and Complete Code Examples</t>
  </si>
  <si>
    <t xml:space="preserve">50m 59s</t>
  </si>
  <si>
    <t xml:space="preserve">D · Coder Army</t>
  </si>
  <si>
    <t xml:space="preserve">JAVA Full Course | Introduction to JAVA | Java Full Course for Beginners in 2026</t>
  </si>
  <si>
    <t xml:space="preserve">59m 7s</t>
  </si>
  <si>
    <t xml:space="preserve">1, 2</t>
  </si>
  <si>
    <t xml:space="preserve">Orientation: why Java, roles, roadmap; Java history, features, editions</t>
  </si>
  <si>
    <t xml:space="preserve">Write Your First JAVA Program | JVM, JDK &amp; JRE Explained | JSE vs JEE vs JME | JAVA Full Course #2</t>
  </si>
  <si>
    <t xml:space="preserve">41m 34s</t>
  </si>
  <si>
    <t xml:space="preserve">2, 4, 5</t>
  </si>
  <si>
    <t xml:space="preserve">Java history, features, editions; JDK vs JRE vs JVM, compile &amp; run flow; Program structure &amp; main()</t>
  </si>
  <si>
    <t xml:space="preserve">Java Variables &amp; Data Types Explained | Identifiers, Literals, Keywords | JAVA Full Course #3</t>
  </si>
  <si>
    <t xml:space="preserve">1h 6m 43s</t>
  </si>
  <si>
    <t xml:space="preserve">6, 8</t>
  </si>
  <si>
    <t xml:space="preserve">Primitive data types; Variables, scope, naming, keywords</t>
  </si>
  <si>
    <t xml:space="preserve">How Java Stores Negative &amp; Floating Point Numbers | Java Full Course #4</t>
  </si>
  <si>
    <t xml:space="preserve">57m 55s</t>
  </si>
  <si>
    <t xml:space="preserve">Java Type Conversions &amp; Type Promotions Explained | Casting in Java | Java Full Course #5</t>
  </si>
  <si>
    <t xml:space="preserve">36m 43s</t>
  </si>
  <si>
    <t xml:space="preserve">Java Operators | Arithmetic + Unary + Logical + Bitwise + Assignment Operators | Java Full Course #6</t>
  </si>
  <si>
    <t xml:space="preserve">2h 8m 10s</t>
  </si>
  <si>
    <t xml:space="preserve">10, 11</t>
  </si>
  <si>
    <t xml:space="preserve">Operators; Bitwise operators &amp; shifts</t>
  </si>
  <si>
    <t xml:space="preserve">Java Conditional Statements | If, If-Else, If-Else-If Ladder, Switch Explained | Full Java Course #7</t>
  </si>
  <si>
    <t xml:space="preserve">1h 21m 29s</t>
  </si>
  <si>
    <t xml:space="preserve">Java Loops &amp; Jump Statements | for, while, do-while, break, continue Explained | Java Full Course #8</t>
  </si>
  <si>
    <t xml:space="preserve">Introduction to Arrays | Declaration, Initialization, Traversal | String Intro | Java Full Course #9</t>
  </si>
  <si>
    <t xml:space="preserve">1h 47m 1s</t>
  </si>
  <si>
    <t xml:space="preserve">How Arrays work in Java | Heap, Contiguous Storage, Random Access | Java Full Course #10</t>
  </si>
  <si>
    <t xml:space="preserve">54m 3s</t>
  </si>
  <si>
    <t xml:space="preserve">Java Functions Deep Dive | Recursion | Method Overloading | Java Full Course #11</t>
  </si>
  <si>
    <t xml:space="preserve">1h 24m 50s</t>
  </si>
  <si>
    <t xml:space="preserve">19, 20, 35</t>
  </si>
  <si>
    <t xml:space="preserve">Methods; Recursion; Overloading vs overriding</t>
  </si>
  <si>
    <t xml:space="preserve">Object Oriented Programming  in Java | Classes, Objects, new Keyword | Java Full Course #12</t>
  </si>
  <si>
    <t xml:space="preserve">1h 5m 11s</t>
  </si>
  <si>
    <t xml:space="preserve">27, 28</t>
  </si>
  <si>
    <t xml:space="preserve">OOP overview: four pillars; Classes &amp; objects</t>
  </si>
  <si>
    <t xml:space="preserve">Constructors in Java | Constructor Chaining, Overloading &amp; this | Java Full Course #13</t>
  </si>
  <si>
    <t xml:space="preserve">58m 2s</t>
  </si>
  <si>
    <t xml:space="preserve">29, 31</t>
  </si>
  <si>
    <t xml:space="preserve">Constructors; this &amp; super keywords</t>
  </si>
  <si>
    <t xml:space="preserve">Objects Deep Dive | Size, Call by Value vs Reference | Shallow vs Deep Copy | Java Full Course #14</t>
  </si>
  <si>
    <t xml:space="preserve">44m 21s</t>
  </si>
  <si>
    <t xml:space="preserve">21, 47</t>
  </si>
  <si>
    <t xml:space="preserve">Pass-by-value &amp; object copying basics; clone(), shallow vs deep copy</t>
  </si>
  <si>
    <t xml:space="preserve">Static &amp; Final in Java | Static Methods, Blocks &amp; String[] args | Java Full Course #15</t>
  </si>
  <si>
    <t xml:space="preserve">45m 28s</t>
  </si>
  <si>
    <t xml:space="preserve">18, 42, 43</t>
  </si>
  <si>
    <t xml:space="preserve">Command-line arguments; static keyword; final keyword</t>
  </si>
  <si>
    <t xml:space="preserve">Encapsulation &amp; Inheritance in Java | Java Packages &amp; Super Keyword | Java Full Course #16</t>
  </si>
  <si>
    <t xml:space="preserve">1h 38m 2s</t>
  </si>
  <si>
    <t xml:space="preserve">31, 32, 34, 41</t>
  </si>
  <si>
    <t xml:space="preserve">this &amp; super keywords; Encapsulation; Inheritance; Packages &amp; imports</t>
  </si>
  <si>
    <t xml:space="preserve">Abstraction &amp; Polymorphism in Depth | Abstract Class vs Interfaces | Java Full Course #17</t>
  </si>
  <si>
    <t xml:space="preserve">1h 28m 1s</t>
  </si>
  <si>
    <t xml:space="preserve">36, 38, 40</t>
  </si>
  <si>
    <t xml:space="preserve">Polymorphism; Abstraction: abstract classes &amp; methods; Interface vs abstract class</t>
  </si>
  <si>
    <t xml:space="preserve">AutoBoxing, Abstract classes &amp; POJOs | Why only one public class in java file | Java Full Course #18</t>
  </si>
  <si>
    <t xml:space="preserve">1h 12m 1s</t>
  </si>
  <si>
    <t xml:space="preserve">5, 38, 49, 50</t>
  </si>
  <si>
    <t xml:space="preserve">Program structure &amp; main(); Abstraction: abstract classes &amp; methods; POJO, DTO, JavaBeans; Wrapper classes &amp; autoboxing</t>
  </si>
  <si>
    <t xml:space="preserve">Java Nested Classes | Static Nested, Inner, Local &amp; Anonymous Classes | Java Full Course #19</t>
  </si>
  <si>
    <t xml:space="preserve">1h 20m 58s</t>
  </si>
  <si>
    <t xml:space="preserve">Java I/O Deep Dive | InputStreams, System.in, Scanner vs BufferedReader | Java Full Course #20</t>
  </si>
  <si>
    <t xml:space="preserve">1h 11m 13s</t>
  </si>
  <si>
    <t xml:space="preserve">12, 84</t>
  </si>
  <si>
    <t xml:space="preserve">Console input / output; File I/O</t>
  </si>
  <si>
    <t xml:space="preserve">Immutable Classes in Java | How to Create Immutable Objects | Java Full Course #21</t>
  </si>
  <si>
    <t xml:space="preserve">35m 4s</t>
  </si>
  <si>
    <t xml:space="preserve">Most Important Class in Java | Object Class (equals, hashCode, toString) | Java Full Course #22</t>
  </si>
  <si>
    <t xml:space="preserve">1h 7m 31s</t>
  </si>
  <si>
    <t xml:space="preserve">Java Enums | Why Not Use int/String for Constants? | Java Full Course #23</t>
  </si>
  <si>
    <t xml:space="preserve">1h 12m 9s</t>
  </si>
  <si>
    <t xml:space="preserve">Java Interfaces Deep Dive | Default Methods, Functional, Marker Interfaces | Java Full Course #24</t>
  </si>
  <si>
    <t xml:space="preserve">59m 55s</t>
  </si>
  <si>
    <t xml:space="preserve">Java Strings | String Pool, Immutability, Internals | Java Full Course #25</t>
  </si>
  <si>
    <t xml:space="preserve">1h 8m 59s</t>
  </si>
  <si>
    <t xml:space="preserve">Java Strings Part 2 | All String Methods + StringBuilder vs StringBuffer | Java Full Course #26</t>
  </si>
  <si>
    <t xml:space="preserve">1h 15m 55s</t>
  </si>
  <si>
    <t xml:space="preserve">24, 25</t>
  </si>
  <si>
    <t xml:space="preserve">String methods; String vs StringBuilder vs StringBuffer</t>
  </si>
  <si>
    <t xml:space="preserve">Java Generics Deep Dive | Bounded Types using extends | Java Full Course #27</t>
  </si>
  <si>
    <t xml:space="preserve">1h 5m 8s</t>
  </si>
  <si>
    <t xml:space="preserve">62, 63</t>
  </si>
  <si>
    <t xml:space="preserve">Generic classes, methods, interfaces; Bounded types &amp; wildcards</t>
  </si>
  <si>
    <t xml:space="preserve">Wildcards in Generics | ?, ? extends, ? super  | Java Full Course #28</t>
  </si>
  <si>
    <t xml:space="preserve">1h 22m 24s</t>
  </si>
  <si>
    <t xml:space="preserve">63</t>
  </si>
  <si>
    <t xml:space="preserve">Java Collection Framework Explained | Data Structures + Complete Hierarchy | Java Full Course #29</t>
  </si>
  <si>
    <t xml:space="preserve">1h 15m 58s</t>
  </si>
  <si>
    <t xml:space="preserve">Iterable Interface in Java | Why Iterator Exists? | For-Each Loop | Java Full Course #30</t>
  </si>
  <si>
    <t xml:space="preserve">1h 16m 1s</t>
  </si>
  <si>
    <t xml:space="preserve">66</t>
  </si>
  <si>
    <t xml:space="preserve">Java Collection Interface Deep Dive | Methods &amp; Internals | Java Full Course #31</t>
  </si>
  <si>
    <t xml:space="preserve">29m 15s</t>
  </si>
  <si>
    <t xml:space="preserve">Java List Interface Deep Dive | ArrayList, LinkedList, Vector, Stack | Java Full Course #32</t>
  </si>
  <si>
    <t xml:space="preserve">44m 38s</t>
  </si>
  <si>
    <t xml:space="preserve">Set &amp; Map Interface in Java | Internal Working of HashMap, HashSet &amp; TreeMap | Java Full Course #33</t>
  </si>
  <si>
    <t xml:space="preserve">1h 37m 28s</t>
  </si>
  <si>
    <t xml:space="preserve">Set &amp; Map Methods Explained | EnumMaps, IdentityHashMaps &amp; More | Java Full Course #34</t>
  </si>
  <si>
    <t xml:space="preserve">1h 11m 20s</t>
  </si>
  <si>
    <t xml:space="preserve">51, 70</t>
  </si>
  <si>
    <t xml:space="preserve">Enums; LinkedHashMap, TreeMap &amp; special maps</t>
  </si>
  <si>
    <t xml:space="preserve">Java Queue Interface Deep Dive | PriorityQueue &amp; Heap Explained | Java Full Course #35</t>
  </si>
  <si>
    <t xml:space="preserve">1h 17m 25s</t>
  </si>
  <si>
    <t xml:space="preserve">71</t>
  </si>
  <si>
    <t xml:space="preserve">Comparable Interface in Java | Collections class | Comparing Objects | Java Full Course #36</t>
  </si>
  <si>
    <t xml:space="preserve">44m 35s</t>
  </si>
  <si>
    <t xml:space="preserve">72, 73</t>
  </si>
  <si>
    <t xml:space="preserve">Comparable vs Comparator; Collections utility class</t>
  </si>
  <si>
    <t xml:space="preserve">Java Lambdas &amp; Functional Interfaces | Comparator Interface | Java Full Course #37</t>
  </si>
  <si>
    <t xml:space="preserve">49m 38s</t>
  </si>
  <si>
    <t xml:space="preserve">72, 76, 77</t>
  </si>
  <si>
    <t xml:space="preserve">Comparable vs Comparator; Lambda expressions; Functional interfaces</t>
  </si>
  <si>
    <t xml:space="preserve">Lambdas &amp; Functional Interface Deep Dive | Method References &amp; Composition | Java Full Course #38</t>
  </si>
  <si>
    <t xml:space="preserve">1h 55m 9s</t>
  </si>
  <si>
    <t xml:space="preserve">76, 77, 78</t>
  </si>
  <si>
    <t xml:space="preserve">Lambda expressions; Functional interfaces; Method &amp; constructor references</t>
  </si>
  <si>
    <t xml:space="preserve">Introduction to Java Streams | Creation &amp; Architecture | Java Full Course #39</t>
  </si>
  <si>
    <t xml:space="preserve">1h 3m 20s</t>
  </si>
  <si>
    <t xml:space="preserve">Java Stream Methods Deep Dive | All Intermediate &amp; Terminal Operations | Java Full Course #40</t>
  </si>
  <si>
    <t xml:space="preserve">1h 12s</t>
  </si>
  <si>
    <t xml:space="preserve">80, 81</t>
  </si>
  <si>
    <t xml:space="preserve">Streams: creation, intermediate &amp; terminal ops; Collectors</t>
  </si>
  <si>
    <t xml:space="preserve">Java Optional Explained from Scratch | All Methods + Streams Integration | Java Full Course #41</t>
  </si>
  <si>
    <t xml:space="preserve">1h 16m 34s</t>
  </si>
  <si>
    <t xml:space="preserve">Parallel Streams in Java Explained | Primitive Optional Classes | Java Full Course #42</t>
  </si>
  <si>
    <t xml:space="preserve">42m 35s</t>
  </si>
  <si>
    <t xml:space="preserve">79, 82</t>
  </si>
  <si>
    <t xml:space="preserve">Optional; Parallel &amp; primitive streams</t>
  </si>
  <si>
    <t xml:space="preserve">Java Exception Handling from Scratch | Exceptions vs Errors | Java Full Course #43</t>
  </si>
  <si>
    <t xml:space="preserve">55m 46s</t>
  </si>
  <si>
    <t xml:space="preserve">Exception Hierarchy Deep Dive | throw vs throws | Custom Exceptions | Java Full Course #44</t>
  </si>
  <si>
    <t xml:space="preserve">1h 5m 23s</t>
  </si>
  <si>
    <t xml:space="preserve">55, 57, 59</t>
  </si>
  <si>
    <t xml:space="preserve">Exception hierarchy; throw vs throws &amp; propagation; Custom exceptions</t>
  </si>
  <si>
    <t xml:space="preserve">Java Memory Management Explained in Depth | Stack, Heap, Method Area &amp; PC | Java Full Course #45</t>
  </si>
  <si>
    <t xml:space="preserve">1h 4m 10s</t>
  </si>
  <si>
    <t xml:space="preserve">115</t>
  </si>
  <si>
    <t xml:space="preserve">Java Heap Memory Deep Dive | Garbage Collection Algorithms Explained | Java Full Course #46</t>
  </si>
  <si>
    <t xml:space="preserve">1h 2m 53s</t>
  </si>
  <si>
    <t xml:space="preserve">116</t>
  </si>
  <si>
    <t xml:space="preserve">Introduction to Multithreading in Java | Process vs Thread  | Java Full Course #47</t>
  </si>
  <si>
    <t xml:space="preserve">51m 38s</t>
  </si>
  <si>
    <t xml:space="preserve">Java Thread Creation &amp; Lifecycle Explained from Scratch | Java Full Course #48</t>
  </si>
  <si>
    <t xml:space="preserve">1h 1m</t>
  </si>
  <si>
    <t xml:space="preserve">Thread Methods | sleep, join, yield, interrupt, isAlive, priority &amp; more | Java Full Course #49</t>
  </si>
  <si>
    <t xml:space="preserve">39m 5s</t>
  </si>
  <si>
    <t xml:space="preserve">Problems in Multithreading | Race Condition, Visibility, Ordering Explained | Java Full Course #50</t>
  </si>
  <si>
    <t xml:space="preserve">55m 54s</t>
  </si>
  <si>
    <t xml:space="preserve">93, 98</t>
  </si>
  <si>
    <t xml:space="preserve">Thread-safety problems; Java Memory Model</t>
  </si>
  <si>
    <t xml:space="preserve">Monitor Locks in Java | Synchronized Keyword, Static Sync &amp; Custom Locks | Java Full Course #51</t>
  </si>
  <si>
    <t xml:space="preserve">47m 57s</t>
  </si>
  <si>
    <t xml:space="preserve">Inter Thread Communication in Java | wait(), notify(), notifyAll() Deep Dive | Java Full Course #52</t>
  </si>
  <si>
    <t xml:space="preserve">1h 3m 17s</t>
  </si>
  <si>
    <t xml:space="preserve">95</t>
  </si>
  <si>
    <t xml:space="preserve">Java Locks | ReentrantLock, ReadWriteLock, StampedLock, Semaphore &amp; Condition | Java Full Course #53</t>
  </si>
  <si>
    <t xml:space="preserve">1h 20m 5s</t>
  </si>
  <si>
    <t xml:space="preserve">Lock-Free Concurrency in Java | AtomicVariables &amp; CAS Explained | Java Full Course #54</t>
  </si>
  <si>
    <t xml:space="preserve">49m 7s</t>
  </si>
  <si>
    <t xml:space="preserve">Lock-Free Concurrency in Java - 2 | CAS Retry, Compare-and-Swap &amp; ABA Problem | Java Full Course #55</t>
  </si>
  <si>
    <t xml:space="preserve">31m 29s</t>
  </si>
  <si>
    <t xml:space="preserve">100</t>
  </si>
  <si>
    <t xml:space="preserve">Executor Framework Deep Dive | ThreadPool, Future &amp; Callable | Java Full Course #56</t>
  </si>
  <si>
    <t xml:space="preserve">1h 19m 14s</t>
  </si>
  <si>
    <t xml:space="preserve">104, 105</t>
  </si>
  <si>
    <t xml:space="preserve">Executor framework &amp; thread pools; Future &amp; Callable</t>
  </si>
  <si>
    <t xml:space="preserve">CompletableFuture, Fork-Join Pool, ThreadLocal &amp; Virtual Threads | Java Full Course #57</t>
  </si>
  <si>
    <t xml:space="preserve">1h 22m 18s</t>
  </si>
  <si>
    <t xml:space="preserve">103, 106, 107, 108</t>
  </si>
  <si>
    <t xml:space="preserve">ThreadLocal; CompletableFuture; ForkJoinPool &amp; work stealing; Virtual threads</t>
  </si>
  <si>
    <t xml:space="preserve">E · Learn Coding</t>
  </si>
  <si>
    <t xml:space="preserve">Introduction to Java (Hindi) | What is Java? Explain with Syntax and Example</t>
  </si>
  <si>
    <t xml:space="preserve">11m 41s</t>
  </si>
  <si>
    <t xml:space="preserve">2</t>
  </si>
  <si>
    <t xml:space="preserve">How To Setup JAVA For Visual Studio Code | Installation &amp; Code Example</t>
  </si>
  <si>
    <t xml:space="preserve">7m 56s</t>
  </si>
  <si>
    <t xml:space="preserve">SDE Roadmap: Software Developer Roadmap for 2026 | Learn Coding</t>
  </si>
  <si>
    <t xml:space="preserve">7m 53s</t>
  </si>
  <si>
    <t xml:space="preserve">Java Roadmap 2026 | Become a Java Developer in 2026 | Learn Coding</t>
  </si>
  <si>
    <t xml:space="preserve">6m 39s</t>
  </si>
  <si>
    <t xml:space="preserve">Core Java Syllabus | Learn Coding</t>
  </si>
  <si>
    <t xml:space="preserve">3m 16s</t>
  </si>
  <si>
    <t xml:space="preserve">Difference between Coding and Programming | Learn Coding</t>
  </si>
  <si>
    <t xml:space="preserve">5m 42s</t>
  </si>
  <si>
    <t xml:space="preserve">difference between statically and dynamically typed programming languages | Learn Coding</t>
  </si>
  <si>
    <t xml:space="preserve">10m 27s</t>
  </si>
  <si>
    <t xml:space="preserve">JDK JRE and JVM in Java (Hindi) | Learn Coding</t>
  </si>
  <si>
    <t xml:space="preserve">6m 9s</t>
  </si>
  <si>
    <t xml:space="preserve">History of Java Language (Hindi) | जावा का इतिहास क्या है? | Learn Coding</t>
  </si>
  <si>
    <t xml:space="preserve">5m 26s</t>
  </si>
  <si>
    <t xml:space="preserve">Features of Java (Hindi) | Learn Coding</t>
  </si>
  <si>
    <t xml:space="preserve">6m 59s</t>
  </si>
  <si>
    <t xml:space="preserve">Java program Compilation and Execution process in Detail (Hindi) | Learn Coding</t>
  </si>
  <si>
    <t xml:space="preserve">6m 55s</t>
  </si>
  <si>
    <t xml:space="preserve">Why public static void main(String args[ ]) in Java? full Explanation | Learn Coding</t>
  </si>
  <si>
    <t xml:space="preserve">9m 32s</t>
  </si>
  <si>
    <t xml:space="preserve">First Java Program | Java Hello World program | How to Compile &amp; Run Java Program</t>
  </si>
  <si>
    <t xml:space="preserve">4m 41s</t>
  </si>
  <si>
    <t xml:space="preserve">3, 5</t>
  </si>
  <si>
    <t xml:space="preserve">Installing JDK &amp; setting up an IDE; Program structure &amp; main()</t>
  </si>
  <si>
    <t xml:space="preserve">comments in java | types of comments in java</t>
  </si>
  <si>
    <t xml:space="preserve">10m 42s</t>
  </si>
  <si>
    <t xml:space="preserve">Data Types in Java (Hindi) | What is DataType? full Explanation | Learn Coding</t>
  </si>
  <si>
    <t xml:space="preserve">5m 24s</t>
  </si>
  <si>
    <t xml:space="preserve">Variables in Java (Hindi) | What is variable? full Explanation with types</t>
  </si>
  <si>
    <t xml:space="preserve">4m 30s</t>
  </si>
  <si>
    <t xml:space="preserve">Rules of Variable declaration in Java | Learn Coding</t>
  </si>
  <si>
    <t xml:space="preserve">14m 9s</t>
  </si>
  <si>
    <t xml:space="preserve">Local, Static and Instance variables in Java | Learn Coding</t>
  </si>
  <si>
    <t xml:space="preserve">13m 4s</t>
  </si>
  <si>
    <t xml:space="preserve">Add two numbers program in Java (without user input) | Learn Coding</t>
  </si>
  <si>
    <t xml:space="preserve">4m 44s</t>
  </si>
  <si>
    <t xml:space="preserve">22</t>
  </si>
  <si>
    <t xml:space="preserve">Type Casting in Java with Example (Hindi) | Learn Coding</t>
  </si>
  <si>
    <t xml:space="preserve">11m 35s</t>
  </si>
  <si>
    <t xml:space="preserve">Input &amp; Output in Java (hindi) | Learn Coding</t>
  </si>
  <si>
    <t xml:space="preserve">13m 18s</t>
  </si>
  <si>
    <t xml:space="preserve">How to take input from user in Java | Learn Coding</t>
  </si>
  <si>
    <t xml:space="preserve">6m 49s</t>
  </si>
  <si>
    <t xml:space="preserve">tokens in java (hindi) | Learn Coding</t>
  </si>
  <si>
    <t xml:space="preserve">7m 18s</t>
  </si>
  <si>
    <t xml:space="preserve">keywords in java (hindi) | Learn Coding</t>
  </si>
  <si>
    <t xml:space="preserve">6m 31s</t>
  </si>
  <si>
    <t xml:space="preserve">identifiers in java (hindi) | Learn Coding</t>
  </si>
  <si>
    <t xml:space="preserve">8m 7s</t>
  </si>
  <si>
    <t xml:space="preserve">Operators in Java (Hindi) | What is Operator? Discuss with types</t>
  </si>
  <si>
    <t xml:space="preserve">6m 25s</t>
  </si>
  <si>
    <t xml:space="preserve">Java Arithmetic Operators Example | Learn Coding</t>
  </si>
  <si>
    <t xml:space="preserve">7m 20s</t>
  </si>
  <si>
    <t xml:space="preserve">Relational Operators Example in Java (Hindi) | Learn Coding</t>
  </si>
  <si>
    <t xml:space="preserve">6m 57s</t>
  </si>
  <si>
    <t xml:space="preserve">Logical Operators Example in Java (Hindi) | Learn Coding</t>
  </si>
  <si>
    <t xml:space="preserve">7m 14s</t>
  </si>
  <si>
    <t xml:space="preserve">Increment and Decrement Operators Example in Java (Hindi) | Learn Coding</t>
  </si>
  <si>
    <t xml:space="preserve">5m 45s</t>
  </si>
  <si>
    <t xml:space="preserve">Assignment Operators Example in Java (Hindi) | Learn Coding</t>
  </si>
  <si>
    <t xml:space="preserve">5m 47s</t>
  </si>
  <si>
    <t xml:space="preserve">Ternary Operator Example in Java (Hindi) | Learn Coding</t>
  </si>
  <si>
    <t xml:space="preserve">7m 52s</t>
  </si>
  <si>
    <t xml:space="preserve">Bitwise Operators Example in Java (Hindi) | Learn Coding</t>
  </si>
  <si>
    <t xml:space="preserve">11m 28s</t>
  </si>
  <si>
    <t xml:space="preserve">Decision Making Statements ( if, if else, else if ladder, nested if else, switch) in Java</t>
  </si>
  <si>
    <t xml:space="preserve">3m 20s</t>
  </si>
  <si>
    <t xml:space="preserve">If Statement in Java (Hindi) | Learn Coding</t>
  </si>
  <si>
    <t xml:space="preserve">9m 49s</t>
  </si>
  <si>
    <t xml:space="preserve">if else statement in Java (Hindi) | Learn Coding</t>
  </si>
  <si>
    <t xml:space="preserve">8m 56s</t>
  </si>
  <si>
    <t xml:space="preserve">if else if ladder statement in Java (hindi) | Learn Coding</t>
  </si>
  <si>
    <t xml:space="preserve">11m 56s</t>
  </si>
  <si>
    <t xml:space="preserve">Nested if else statement in Java (Hindi) | Learn Coding</t>
  </si>
  <si>
    <t xml:space="preserve">10m 56s</t>
  </si>
  <si>
    <t xml:space="preserve">Switch Statement in Java (Hindi) | Learn Coding</t>
  </si>
  <si>
    <t xml:space="preserve">14m 57s</t>
  </si>
  <si>
    <t xml:space="preserve">Looping Statements in Java (Hindi) | loops in Java | Learn Coding</t>
  </si>
  <si>
    <t xml:space="preserve">4m 4s</t>
  </si>
  <si>
    <t xml:space="preserve">While loop in Java (Hindi) | Learn Coding</t>
  </si>
  <si>
    <t xml:space="preserve">11m 24s</t>
  </si>
  <si>
    <t xml:space="preserve">Do While loop in Java (Hindi) | Learn Coding</t>
  </si>
  <si>
    <t xml:space="preserve">10m 52s</t>
  </si>
  <si>
    <t xml:space="preserve">for loop in Java (Hindi) | Learn Coding</t>
  </si>
  <si>
    <t xml:space="preserve">11m 12s</t>
  </si>
  <si>
    <t xml:space="preserve">for each loop in Java (Hindi) | Learn Coding</t>
  </si>
  <si>
    <t xml:space="preserve">9m 16s</t>
  </si>
  <si>
    <t xml:space="preserve">Nested for loop in Java (Hindi) | Learn Coding</t>
  </si>
  <si>
    <t xml:space="preserve">10m 32s</t>
  </si>
  <si>
    <t xml:space="preserve">Part-1 Java Basic MCQs | Java MCQ's Questions and Answers (Hindi) | Learn Coding</t>
  </si>
  <si>
    <t xml:space="preserve">141</t>
  </si>
  <si>
    <t xml:space="preserve">Part-2 Java MCQs | Java MCQ's for TCS Interview | Learn Coding</t>
  </si>
  <si>
    <t xml:space="preserve">12m 42s</t>
  </si>
  <si>
    <t xml:space="preserve">Odd Even Program in Java | Learn Coding</t>
  </si>
  <si>
    <t xml:space="preserve">6m 29s</t>
  </si>
  <si>
    <t xml:space="preserve">Add two numbers in Java | Learn Coding</t>
  </si>
  <si>
    <t xml:space="preserve">Java program to print first N natural numbers | Learn Coding</t>
  </si>
  <si>
    <t xml:space="preserve">7m 25s</t>
  </si>
  <si>
    <t xml:space="preserve">Sum of first N natural numbers in Java | Learn Coding</t>
  </si>
  <si>
    <t xml:space="preserve">7m 43s</t>
  </si>
  <si>
    <t xml:space="preserve">Java program to print all Odd numbers between 1 to N | Learn Coding</t>
  </si>
  <si>
    <t xml:space="preserve">8m 30s</t>
  </si>
  <si>
    <t xml:space="preserve">Java program to print all Even numbers between 0 to N | Learn Coding</t>
  </si>
  <si>
    <t xml:space="preserve">8m 27s</t>
  </si>
  <si>
    <t xml:space="preserve">Java program to Calculate Sum of Odd or Even numbers | Learn Coding</t>
  </si>
  <si>
    <t xml:space="preserve">14m 36s</t>
  </si>
  <si>
    <t xml:space="preserve">Java program to take Character input from User | Learn Coding</t>
  </si>
  <si>
    <t xml:space="preserve">8m 24s</t>
  </si>
  <si>
    <t xml:space="preserve">Java program to check Character is Vowel or Consonant | Learn Coding</t>
  </si>
  <si>
    <t xml:space="preserve">10m 37s</t>
  </si>
  <si>
    <t xml:space="preserve">Java program to print ASCII value of a Character | Learn Coding</t>
  </si>
  <si>
    <t xml:space="preserve">7m 28s</t>
  </si>
  <si>
    <t xml:space="preserve">Java program to print A to Z alphabets | Learn Coding</t>
  </si>
  <si>
    <t xml:space="preserve">5m 10s</t>
  </si>
  <si>
    <t xml:space="preserve">Java program to find Greatest number between two Numbers | Learn Coding</t>
  </si>
  <si>
    <t xml:space="preserve">5m 18s</t>
  </si>
  <si>
    <t xml:space="preserve">Java program to calculate power of a Number | Learn Coding</t>
  </si>
  <si>
    <t xml:space="preserve">9m 11s</t>
  </si>
  <si>
    <t xml:space="preserve">Java program to find Greatest of three Numbers | Learn Coding</t>
  </si>
  <si>
    <t xml:space="preserve">5m 44s</t>
  </si>
  <si>
    <t xml:space="preserve">Java program to calculate Total and Average marks of 5 subjects | Learn Coding</t>
  </si>
  <si>
    <t xml:space="preserve">6m 46s</t>
  </si>
  <si>
    <t xml:space="preserve">Java program to find Factorial of a Number | Learn Coding</t>
  </si>
  <si>
    <t xml:space="preserve">9m 23s</t>
  </si>
  <si>
    <t xml:space="preserve">Java program to count Digits in a Number | Learn Coding</t>
  </si>
  <si>
    <t xml:space="preserve">8m 17s</t>
  </si>
  <si>
    <t xml:space="preserve">Java program to check Voting eligibility | Learn Coding</t>
  </si>
  <si>
    <t xml:space="preserve">5m 57s</t>
  </si>
  <si>
    <t xml:space="preserve">Java program to print Multiplication Table | Learn Coding</t>
  </si>
  <si>
    <t xml:space="preserve">8m 22s</t>
  </si>
  <si>
    <t xml:space="preserve">Java program to calculate Tax of a Salary | Learn Coding</t>
  </si>
  <si>
    <t xml:space="preserve">11m 23s</t>
  </si>
  <si>
    <t xml:space="preserve">Java program to Make Calculator | Learn Coding</t>
  </si>
  <si>
    <t xml:space="preserve">10m 28s</t>
  </si>
  <si>
    <t xml:space="preserve">Java program to Calculate Area of Rectangle | Learn Coding</t>
  </si>
  <si>
    <t xml:space="preserve">Java program to Calculate Area of Circle | Learn Coding</t>
  </si>
  <si>
    <t xml:space="preserve">7m</t>
  </si>
  <si>
    <t xml:space="preserve">Java program to Calculate Area of Square | Learn Coding</t>
  </si>
  <si>
    <t xml:space="preserve">5m 32s</t>
  </si>
  <si>
    <t xml:space="preserve">Java program to calculate area of Triangle | Learn Coding</t>
  </si>
  <si>
    <t xml:space="preserve">11m 50s</t>
  </si>
  <si>
    <t xml:space="preserve">Java program to Swap Two Numbers | Learn Coding</t>
  </si>
  <si>
    <t xml:space="preserve">9m 10s</t>
  </si>
  <si>
    <t xml:space="preserve">Java Program to Swap Two Numbers Without using Third Variable | Learn Coding</t>
  </si>
  <si>
    <t xml:space="preserve">8m 18s</t>
  </si>
  <si>
    <t xml:space="preserve">Java program to convert character uppercase to lowercase and vice - versa | Learn Coding</t>
  </si>
  <si>
    <t xml:space="preserve">9m 55s</t>
  </si>
  <si>
    <t xml:space="preserve">Java program to check number is Positive or Negative | Learn Coding</t>
  </si>
  <si>
    <t xml:space="preserve">Java program to check input year is leap year or not | Learn Coding</t>
  </si>
  <si>
    <t xml:space="preserve">9m 26s</t>
  </si>
  <si>
    <t xml:space="preserve">Java program to check number is Divisible by 5 or Not | Learn Coding</t>
  </si>
  <si>
    <t xml:space="preserve">Java program to print day name of weekend using switch statement | Learn Coding</t>
  </si>
  <si>
    <t xml:space="preserve">8m 21s</t>
  </si>
  <si>
    <t xml:space="preserve">Java program to find factor of a Number | Learn Coding</t>
  </si>
  <si>
    <t xml:space="preserve">9m 30s</t>
  </si>
  <si>
    <t xml:space="preserve">Java program to input month number and print number of Days | Learn Coding</t>
  </si>
  <si>
    <t xml:space="preserve">9m 20s</t>
  </si>
  <si>
    <t xml:space="preserve">Java Program to Reverse a Number | Learn Coding</t>
  </si>
  <si>
    <t xml:space="preserve">9m 47s</t>
  </si>
  <si>
    <t xml:space="preserve">Java Program to Find Sum of Digits | Learn Coding</t>
  </si>
  <si>
    <t xml:space="preserve">10m 3s</t>
  </si>
  <si>
    <t xml:space="preserve">Part-3 Java MCQs | What will be the output of java program</t>
  </si>
  <si>
    <t xml:space="preserve">15m 1s</t>
  </si>
  <si>
    <t xml:space="preserve">Java Program to Check Number is Palindrome or Not | Learn Coding</t>
  </si>
  <si>
    <t xml:space="preserve">12m 18s</t>
  </si>
  <si>
    <t xml:space="preserve">Java Program to Check Number is Armstrong or Not | Learn Coding</t>
  </si>
  <si>
    <t xml:space="preserve">11m 39s</t>
  </si>
  <si>
    <t xml:space="preserve">Java program to find Square Root of a Number | Learn Coding</t>
  </si>
  <si>
    <t xml:space="preserve">5m 54s</t>
  </si>
  <si>
    <t xml:space="preserve">Java Program to Check Number is Prime or Not | Learn Coding</t>
  </si>
  <si>
    <t xml:space="preserve">10m 17s</t>
  </si>
  <si>
    <t xml:space="preserve">Java Program to Check Weather a Number is Perfect or Not | Learn Coding</t>
  </si>
  <si>
    <t xml:space="preserve">10m 43s</t>
  </si>
  <si>
    <t xml:space="preserve">Java program to print all prime numbers between two numbers | Learn Coding</t>
  </si>
  <si>
    <t xml:space="preserve">Arrays in Java (Hindi) | What is array? Explain with Syntax &amp; Example</t>
  </si>
  <si>
    <t xml:space="preserve">17m 8s</t>
  </si>
  <si>
    <t xml:space="preserve">Print array elements in Java | Learn Coding</t>
  </si>
  <si>
    <t xml:space="preserve">5m 7s</t>
  </si>
  <si>
    <t xml:space="preserve">16</t>
  </si>
  <si>
    <t xml:space="preserve">Java Program to Print Array Elements using Arrays Class Methods | Learn Coding</t>
  </si>
  <si>
    <t xml:space="preserve">7m 39s</t>
  </si>
  <si>
    <t xml:space="preserve">Java program to print array elements in reverse order | Learn Coding</t>
  </si>
  <si>
    <t xml:space="preserve">7m 41s</t>
  </si>
  <si>
    <t xml:space="preserve">Java program to find length of array | Learn Coding</t>
  </si>
  <si>
    <t xml:space="preserve">6m 58s</t>
  </si>
  <si>
    <t xml:space="preserve">Java program to copy all elements of one array to another | Learn Coding</t>
  </si>
  <si>
    <t xml:space="preserve">7m 36s</t>
  </si>
  <si>
    <t xml:space="preserve">Java program to Add array elements | Sum of Array Elements in Java</t>
  </si>
  <si>
    <t xml:space="preserve">10m 16s</t>
  </si>
  <si>
    <t xml:space="preserve">Java program to search an element in array | Learn Coding</t>
  </si>
  <si>
    <t xml:space="preserve">12m 32s</t>
  </si>
  <si>
    <t xml:space="preserve">Java program to find average of an array elements | Learn Coding</t>
  </si>
  <si>
    <t xml:space="preserve">Java program to arrange array elements in ascending order | Learn Coding</t>
  </si>
  <si>
    <t xml:space="preserve">12m 41s</t>
  </si>
  <si>
    <t xml:space="preserve">Java program to arrange array elements in descending order | Learn Coding</t>
  </si>
  <si>
    <t xml:space="preserve">8m 44s</t>
  </si>
  <si>
    <t xml:space="preserve">Arrays Class Methods in Java | Arrays methods- sort(), equals() and copyOf()</t>
  </si>
  <si>
    <t xml:space="preserve">14m</t>
  </si>
  <si>
    <t xml:space="preserve">Java Arrays Comparison == Vs equals() | Learn Coding</t>
  </si>
  <si>
    <t xml:space="preserve">6m 1s</t>
  </si>
  <si>
    <t xml:space="preserve">Java program to find biggest element in array | Learn Coding</t>
  </si>
  <si>
    <t xml:space="preserve">Java program to find smallest element in array | Learn Coding</t>
  </si>
  <si>
    <t xml:space="preserve">6m 54s</t>
  </si>
  <si>
    <t xml:space="preserve">Java program to insert element in an array | Learn Coding</t>
  </si>
  <si>
    <t xml:space="preserve">11m 33s</t>
  </si>
  <si>
    <t xml:space="preserve">Java program to delete array element | Learn Coding</t>
  </si>
  <si>
    <t xml:space="preserve">6m 12s</t>
  </si>
  <si>
    <t xml:space="preserve">Star Pattern Programs in Java | Learn Coding</t>
  </si>
  <si>
    <t xml:space="preserve">16m 13s</t>
  </si>
  <si>
    <t xml:space="preserve">Java Star Pattern Program(Logic) | Learn Coding</t>
  </si>
  <si>
    <t xml:space="preserve">10m 13s</t>
  </si>
  <si>
    <t xml:space="preserve">Java program to print star pattern | Learn Coding</t>
  </si>
  <si>
    <t xml:space="preserve">13m 13s</t>
  </si>
  <si>
    <t xml:space="preserve">Java Number Pattern (Logic) | Learn Coding</t>
  </si>
  <si>
    <t xml:space="preserve">11m 20s</t>
  </si>
  <si>
    <t xml:space="preserve">Character Pattern Programs in Java | Learn Coding</t>
  </si>
  <si>
    <t xml:space="preserve">12m 39s</t>
  </si>
  <si>
    <t xml:space="preserve">Diamond Pattern in Java | Learn Coding</t>
  </si>
  <si>
    <t xml:space="preserve">8m 2s</t>
  </si>
  <si>
    <t xml:space="preserve">Half-Diamond Pattern in Java | Learn Coding</t>
  </si>
  <si>
    <t xml:space="preserve">6m 10s</t>
  </si>
  <si>
    <t xml:space="preserve">Java Program to Print Fibonacci Series | Learn Coding</t>
  </si>
  <si>
    <t xml:space="preserve">11m 21s</t>
  </si>
  <si>
    <t xml:space="preserve">Java Program to Print Tribonacci Series | Learn Coding</t>
  </si>
  <si>
    <t xml:space="preserve">6m 24s</t>
  </si>
  <si>
    <t xml:space="preserve">Java program to print Matrix using 2D Array | Learn Coding</t>
  </si>
  <si>
    <t xml:space="preserve">Java program to Addition of two Matrix | Learn Coding</t>
  </si>
  <si>
    <t xml:space="preserve">9m 13s</t>
  </si>
  <si>
    <t xml:space="preserve">Java program to print transpose matrix | Learn Coding</t>
  </si>
  <si>
    <t xml:space="preserve">7m 50s</t>
  </si>
  <si>
    <t xml:space="preserve">Java program to print mirror matrix | Learn Coding</t>
  </si>
  <si>
    <t xml:space="preserve">6m 32s</t>
  </si>
  <si>
    <t xml:space="preserve">Methods in Java (Hindi) | What is method? Explain with Syntax &amp; Example</t>
  </si>
  <si>
    <t xml:space="preserve">13m 37s</t>
  </si>
  <si>
    <t xml:space="preserve">Static vs Non-Static Method in Java | Learn Coding</t>
  </si>
  <si>
    <t xml:space="preserve">19, 42</t>
  </si>
  <si>
    <t xml:space="preserve">Methods; static keyword</t>
  </si>
  <si>
    <t xml:space="preserve">How to use Methods in Java | Learn Coding</t>
  </si>
  <si>
    <t xml:space="preserve">12m 38s</t>
  </si>
  <si>
    <t xml:space="preserve">Recursion in Java (Hindi) | Learn Coding</t>
  </si>
  <si>
    <t xml:space="preserve">12m 34s</t>
  </si>
  <si>
    <t xml:space="preserve">Java Program to Find Factorial using Recursion | Learn Coding</t>
  </si>
  <si>
    <t xml:space="preserve">What is String? full Explanation | Why String is Immutable in Java</t>
  </si>
  <si>
    <t xml:space="preserve">19m 12s</t>
  </si>
  <si>
    <t xml:space="preserve">Java Program to Compare Two Strings | Learn Coding</t>
  </si>
  <si>
    <t xml:space="preserve">8m 43s</t>
  </si>
  <si>
    <t xml:space="preserve">String Methods in Java | toLowerCase(), toUpperCase(), concat(), length(), trim(), replace() etc...</t>
  </si>
  <si>
    <t xml:space="preserve">Java program to reverse a string | StringBuffer and StringBuilder Class in Java</t>
  </si>
  <si>
    <t xml:space="preserve">Console Class in Java with Example | readLine() and readPassword() methods in Java</t>
  </si>
  <si>
    <t xml:space="preserve">10m 23s</t>
  </si>
  <si>
    <t xml:space="preserve">Difference Between Java and Python | JAVA Vs PYTHON ( हिन्दी में ) | Learn Coding</t>
  </si>
  <si>
    <t xml:space="preserve">5m 46s</t>
  </si>
  <si>
    <t xml:space="preserve">ELC and BLC in Java | Executable &amp; Non-Executable Class</t>
  </si>
  <si>
    <t xml:space="preserve">14m 51s</t>
  </si>
  <si>
    <t xml:space="preserve">Java Basic OOP Concepts | Features of OOPs in Java | Learn Coding</t>
  </si>
  <si>
    <t xml:space="preserve">6m 19s</t>
  </si>
  <si>
    <t xml:space="preserve">Class and Object in Java | Learn Coding</t>
  </si>
  <si>
    <t xml:space="preserve">9m 41s</t>
  </si>
  <si>
    <t xml:space="preserve">28</t>
  </si>
  <si>
    <t xml:space="preserve">Constructors in Java | what is constructor? with syntax and example</t>
  </si>
  <si>
    <t xml:space="preserve">9m 2s</t>
  </si>
  <si>
    <t xml:space="preserve">Default Constructor in Java | Learn Coding</t>
  </si>
  <si>
    <t xml:space="preserve">Parameterized Constructor in Java | Learn Coding</t>
  </si>
  <si>
    <t xml:space="preserve">8m 20s</t>
  </si>
  <si>
    <t xml:space="preserve">Copy Constructor in Java | Learn Coding</t>
  </si>
  <si>
    <t xml:space="preserve">7m 2s</t>
  </si>
  <si>
    <t xml:space="preserve">29, 47</t>
  </si>
  <si>
    <t xml:space="preserve">Constructors; clone(), shallow vs deep copy</t>
  </si>
  <si>
    <t xml:space="preserve">Private Constructor in Java | Learn Coding</t>
  </si>
  <si>
    <t xml:space="preserve">7m 30s</t>
  </si>
  <si>
    <t xml:space="preserve">Constructor Overloading in Java | Learn Coding</t>
  </si>
  <si>
    <t xml:space="preserve">11m 11s</t>
  </si>
  <si>
    <t xml:space="preserve">instance block in java | Learn Coding</t>
  </si>
  <si>
    <t xml:space="preserve">8m 47s</t>
  </si>
  <si>
    <t xml:space="preserve">30</t>
  </si>
  <si>
    <t xml:space="preserve">static block in java | Learn Coding</t>
  </si>
  <si>
    <t xml:space="preserve">8m 12s</t>
  </si>
  <si>
    <t xml:space="preserve">30, 42</t>
  </si>
  <si>
    <t xml:space="preserve">Initialization blocks &amp; order; static keyword</t>
  </si>
  <si>
    <t xml:space="preserve">instance block Vs static block in Java | Learn Coding</t>
  </si>
  <si>
    <t xml:space="preserve">Inheritance in Java (hindi) | What is Inheritance? full Explanation</t>
  </si>
  <si>
    <t xml:space="preserve">9m 18s</t>
  </si>
  <si>
    <t xml:space="preserve">Simple Inheritance in Java | Learn Coding</t>
  </si>
  <si>
    <t xml:space="preserve">Multilevel Inheritance in Java | Learn Coding</t>
  </si>
  <si>
    <t xml:space="preserve">Why Java Doesn't Support Multiple Inheritance | Learn Coding</t>
  </si>
  <si>
    <t xml:space="preserve">4m 1s</t>
  </si>
  <si>
    <t xml:space="preserve">Hierarchical Inheritance in Java | Learn Coding</t>
  </si>
  <si>
    <t xml:space="preserve">8m 5s</t>
  </si>
  <si>
    <t xml:space="preserve">Super Keyword in Java | Learn Coding</t>
  </si>
  <si>
    <t xml:space="preserve">14m 14s</t>
  </si>
  <si>
    <t xml:space="preserve">this keyword in java | Learn Coding</t>
  </si>
  <si>
    <t xml:space="preserve">14m 15s</t>
  </si>
  <si>
    <t xml:space="preserve">Polymorphism in Java | Learn Coding</t>
  </si>
  <si>
    <t xml:space="preserve">4m 7s</t>
  </si>
  <si>
    <t xml:space="preserve">Method Overloading in Java | Learn Coding</t>
  </si>
  <si>
    <t xml:space="preserve">9m 59s</t>
  </si>
  <si>
    <t xml:space="preserve">Method Overriding in Java | Learn Coding</t>
  </si>
  <si>
    <t xml:space="preserve">11m 16s</t>
  </si>
  <si>
    <t xml:space="preserve">Encapsulation in Java | Learn Coding</t>
  </si>
  <si>
    <t xml:space="preserve">10m 46s</t>
  </si>
  <si>
    <t xml:space="preserve">Abstraction in Java (Hindi) | Learn Coding</t>
  </si>
  <si>
    <t xml:space="preserve">Abstract Class in Java | Learn Coding</t>
  </si>
  <si>
    <t xml:space="preserve">10m 45s</t>
  </si>
  <si>
    <t xml:space="preserve">abstract class program in java | Learn Coding</t>
  </si>
  <si>
    <t xml:space="preserve">9m 3s</t>
  </si>
  <si>
    <t xml:space="preserve">Abstract Method in Java | Learn Coding</t>
  </si>
  <si>
    <t xml:space="preserve">18m 45s</t>
  </si>
  <si>
    <t xml:space="preserve">Interface in Java | Learn Coding</t>
  </si>
  <si>
    <t xml:space="preserve">15m 9s</t>
  </si>
  <si>
    <t xml:space="preserve">Why interface variables are public static and final in Java | Learn Coding</t>
  </si>
  <si>
    <t xml:space="preserve">interface methods in java | Learn Coding</t>
  </si>
  <si>
    <t xml:space="preserve">multiple inheritance using interface in java | Learn Coding</t>
  </si>
  <si>
    <t xml:space="preserve">10m 57s</t>
  </si>
  <si>
    <t xml:space="preserve">extending interfaces in java | Learn Coding</t>
  </si>
  <si>
    <t xml:space="preserve">7m 40s</t>
  </si>
  <si>
    <t xml:space="preserve">Interface JDK 1.8 in Java | default method in interface(Java)</t>
  </si>
  <si>
    <t xml:space="preserve">17m 27s</t>
  </si>
  <si>
    <t xml:space="preserve">Interface JDK 1.8 in Java | static method in interface(Java)</t>
  </si>
  <si>
    <t xml:space="preserve">Interface JDK 1.9 in Java | private method in interface(Java)</t>
  </si>
  <si>
    <t xml:space="preserve">11m 49s</t>
  </si>
  <si>
    <t xml:space="preserve">final keyword in java | final variable, final method and final class in java</t>
  </si>
  <si>
    <t xml:space="preserve">14m 52s</t>
  </si>
  <si>
    <t xml:space="preserve">new keyword in java | Learn Coding</t>
  </si>
  <si>
    <t xml:space="preserve">Java MCQs for Interview and Exams | इससे बाहर नही आएगा exam में</t>
  </si>
  <si>
    <t xml:space="preserve">56m 45s</t>
  </si>
  <si>
    <t xml:space="preserve">@override annotation in java | Learn Coding</t>
  </si>
  <si>
    <t xml:space="preserve">10m 4s</t>
  </si>
  <si>
    <t xml:space="preserve">35, 111</t>
  </si>
  <si>
    <t xml:space="preserve">Overloading vs overriding; Annotations</t>
  </si>
  <si>
    <t xml:space="preserve">covariant return type in java | Learn Coding</t>
  </si>
  <si>
    <t xml:space="preserve">var arg method in java | Learn Coding</t>
  </si>
  <si>
    <t xml:space="preserve">13m 7s</t>
  </si>
  <si>
    <t xml:space="preserve">Exception Handling in Java | ArithmeticException</t>
  </si>
  <si>
    <t xml:space="preserve">19m 44s</t>
  </si>
  <si>
    <t xml:space="preserve">Exception Hierarchy in Java | NullPointerException</t>
  </si>
  <si>
    <t xml:space="preserve">15m 32s</t>
  </si>
  <si>
    <t xml:space="preserve">try catch block in java | NumberFormatException</t>
  </si>
  <si>
    <t xml:space="preserve">17m 26s</t>
  </si>
  <si>
    <t xml:space="preserve">try catch finally block in java | Learn Coding</t>
  </si>
  <si>
    <t xml:space="preserve">18m 2s</t>
  </si>
  <si>
    <t xml:space="preserve">Difference between abstract class and interface in java | Interface Vs Abstract Class</t>
  </si>
  <si>
    <t xml:space="preserve">10m 1s</t>
  </si>
  <si>
    <t xml:space="preserve">multiple try catch block in java | Learn Coding</t>
  </si>
  <si>
    <t xml:space="preserve">8m 33s</t>
  </si>
  <si>
    <t xml:space="preserve">multiple catch block in java | Learn Coding</t>
  </si>
  <si>
    <t xml:space="preserve">17m 17s</t>
  </si>
  <si>
    <t xml:space="preserve">nested try block in java | Learn Coding</t>
  </si>
  <si>
    <t xml:space="preserve">14m 3s</t>
  </si>
  <si>
    <t xml:space="preserve">nested catch block in java | Learn Coding</t>
  </si>
  <si>
    <t xml:space="preserve">11m 8s</t>
  </si>
  <si>
    <t xml:space="preserve">Difference Between Checked and Unchecked Exception | Learn Coding</t>
  </si>
  <si>
    <t xml:space="preserve">11m 43s</t>
  </si>
  <si>
    <t xml:space="preserve">try-catch-finally inside finally block in java | Learn Coding</t>
  </si>
  <si>
    <t xml:space="preserve">9m 43s</t>
  </si>
  <si>
    <t xml:space="preserve">finalize method in java | Learn Coding</t>
  </si>
  <si>
    <t xml:space="preserve">6m 22s</t>
  </si>
  <si>
    <t xml:space="preserve">60</t>
  </si>
  <si>
    <t xml:space="preserve">Difference between final, finally and finalize | final Vs finally Vs finalize</t>
  </si>
  <si>
    <t xml:space="preserve">9m 7s</t>
  </si>
  <si>
    <t xml:space="preserve">throw keyword in java | Learn Coding</t>
  </si>
  <si>
    <t xml:space="preserve">throws keyword in java | Learn Coding</t>
  </si>
  <si>
    <t xml:space="preserve">14m 34s</t>
  </si>
  <si>
    <t xml:space="preserve">Difference between throw and throws in Java | Throw Keyword vs Throws Keyword</t>
  </si>
  <si>
    <t xml:space="preserve">5m 35s</t>
  </si>
  <si>
    <t xml:space="preserve">throw and throws program in java | Learn Coding</t>
  </si>
  <si>
    <t xml:space="preserve">try-catch Vs throws in java | Learn Coding</t>
  </si>
  <si>
    <t xml:space="preserve">13m 20s</t>
  </si>
  <si>
    <t xml:space="preserve">user defined exception in java | Learn Coding</t>
  </si>
  <si>
    <t xml:space="preserve">12m 51s</t>
  </si>
  <si>
    <t xml:space="preserve">59</t>
  </si>
  <si>
    <t xml:space="preserve">Exception Propagation in Java | Learn Coding</t>
  </si>
  <si>
    <t xml:space="preserve">10m 51s</t>
  </si>
  <si>
    <t xml:space="preserve">Difference Between Exception and Error | Learn Coding</t>
  </si>
  <si>
    <t xml:space="preserve">5m 36s</t>
  </si>
  <si>
    <t xml:space="preserve">File Handling in Java | Java program to create a File</t>
  </si>
  <si>
    <t xml:space="preserve">15m 53s</t>
  </si>
  <si>
    <t xml:space="preserve">java program to display the file information | Learn Coding</t>
  </si>
  <si>
    <t xml:space="preserve">7m 57s</t>
  </si>
  <si>
    <t xml:space="preserve">java program to write into a file | Learn Coding</t>
  </si>
  <si>
    <t xml:space="preserve">8m 16s</t>
  </si>
  <si>
    <t xml:space="preserve">java program to read a text from file | Learn Coding</t>
  </si>
  <si>
    <t xml:space="preserve">java program to rename a file | Learn Coding</t>
  </si>
  <si>
    <t xml:space="preserve">5m 6s</t>
  </si>
  <si>
    <t xml:space="preserve">java program to copy content from one file to another file | Learn Coding</t>
  </si>
  <si>
    <t xml:space="preserve">9m 15s</t>
  </si>
  <si>
    <t xml:space="preserve">Packages in Java | Learn Coding</t>
  </si>
  <si>
    <t xml:space="preserve">10m 41s</t>
  </si>
  <si>
    <t xml:space="preserve">Built in Package in Java | Learn Coding</t>
  </si>
  <si>
    <t xml:space="preserve">15m 11s</t>
  </si>
  <si>
    <t xml:space="preserve">User-defined Package in Java | Learn Coding</t>
  </si>
  <si>
    <t xml:space="preserve">21m 53s</t>
  </si>
  <si>
    <t xml:space="preserve">Multithreading in Java (hindi) | Multitasking vs Multithreading</t>
  </si>
  <si>
    <t xml:space="preserve">9m 58s</t>
  </si>
  <si>
    <t xml:space="preserve">Introduction to Multithreading in Java | Learn Coding</t>
  </si>
  <si>
    <t xml:space="preserve">10m 34s</t>
  </si>
  <si>
    <t xml:space="preserve">Multithreading- by extending Thread class in java</t>
  </si>
  <si>
    <t xml:space="preserve">16m 29s</t>
  </si>
  <si>
    <t xml:space="preserve">Multithreading- by implementing Runnable interface in java</t>
  </si>
  <si>
    <t xml:space="preserve">thread scheduler in java | Learn Coding</t>
  </si>
  <si>
    <t xml:space="preserve">9m 34s</t>
  </si>
  <si>
    <t xml:space="preserve">thread life cycle in java | Learn Coding</t>
  </si>
  <si>
    <t xml:space="preserve">8m 19s</t>
  </si>
  <si>
    <t xml:space="preserve">sleep() method in java multithreading | Learn Coding</t>
  </si>
  <si>
    <t xml:space="preserve">7m 37s</t>
  </si>
  <si>
    <t xml:space="preserve">join() method in java multithreading | Learn Coding</t>
  </si>
  <si>
    <t xml:space="preserve">suspend() and resume() method in java multithreading | Learn Coding</t>
  </si>
  <si>
    <t xml:space="preserve">6m 15s</t>
  </si>
  <si>
    <t xml:space="preserve">yield() method in java multithreading | Learn Coding</t>
  </si>
  <si>
    <t xml:space="preserve">7m 54s</t>
  </si>
  <si>
    <t xml:space="preserve">stop() method in java multithreading | Learn Coding</t>
  </si>
  <si>
    <t xml:space="preserve">4m 47s</t>
  </si>
  <si>
    <t xml:space="preserve">isAlive() method in java multithreading | Learn Coding</t>
  </si>
  <si>
    <t xml:space="preserve">7m 38s</t>
  </si>
  <si>
    <t xml:space="preserve">interrupt() method in java multithreading | Learn Coding</t>
  </si>
  <si>
    <t xml:space="preserve">setPriority() and getPriority() method in java multithreading | Learn Coding</t>
  </si>
  <si>
    <t xml:space="preserve">multithreading problems and solutions in java | synchronization in java</t>
  </si>
  <si>
    <t xml:space="preserve">17m 36s</t>
  </si>
  <si>
    <t xml:space="preserve">93</t>
  </si>
  <si>
    <t xml:space="preserve">Synchronization in Java Multithreading | Learn Coding</t>
  </si>
  <si>
    <t xml:space="preserve">synchronized method in java multithreading | Learn Coding</t>
  </si>
  <si>
    <t xml:space="preserve">12m 20s</t>
  </si>
  <si>
    <t xml:space="preserve">synchronized block in java multithreading | Learn Coding</t>
  </si>
  <si>
    <t xml:space="preserve">12m 13s</t>
  </si>
  <si>
    <t xml:space="preserve">static synchronization in java multithreading | fix synchronized problems in java</t>
  </si>
  <si>
    <t xml:space="preserve">20m 56s</t>
  </si>
  <si>
    <t xml:space="preserve">Difference between sleep() and join() in Java Multithreading | Learn Coding</t>
  </si>
  <si>
    <t xml:space="preserve">Collections Framework in Java | Learn Coding</t>
  </si>
  <si>
    <t xml:space="preserve">Java Interview Questions &amp; Answers | Learn Coding</t>
  </si>
  <si>
    <t xml:space="preserve">16m 50s</t>
  </si>
  <si>
    <t xml:space="preserve">Topics the 5 playlists don't cover (or only touch in a title)</t>
  </si>
  <si>
    <t xml:space="preserve">Static list generated from the Roadmap sheet. Sorted by priority. 'Partial' = mentioned in a video title but not a dedicated lesson.</t>
  </si>
  <si>
    <t xml:space="preserve">Type</t>
  </si>
  <si>
    <t xml:space="preserve">Search terms / note</t>
  </si>
  <si>
    <t xml:space="preserve">Not covered</t>
  </si>
  <si>
    <t xml:space="preserve">Search: java collections time complexity cheat sheet</t>
  </si>
  <si>
    <t xml:space="preserve">Search: ConcurrentHashMap internal working java; BlockingQueue producer consumer java</t>
  </si>
  <si>
    <t xml:space="preserve">Partial</t>
  </si>
  <si>
    <t xml:space="preserve">Only 1 video (D#14). Search: java pass by value vs pass by reference</t>
  </si>
  <si>
    <t xml:space="preserve">Only named in A#33 (a ~4h video). Search: java deadlock livelock starvation examples prevention</t>
  </si>
  <si>
    <t xml:space="preserve">Search: java upcasting downcasting instanceof ClassCastException</t>
  </si>
  <si>
    <t xml:space="preserve">Search: java exception handling best practices pitfalls; java assert keyword; StackOverflowError vs OutOfMemoryError</t>
  </si>
  <si>
    <t xml:space="preserve">Search: java generics type erasure bridge methods raw types</t>
  </si>
  <si>
    <t xml:space="preserve">Search: List.of vs Arrays.asList vs Collections.unmodifiableList</t>
  </si>
  <si>
    <t xml:space="preserve">Search: java serialization serialVersionUID transient Externalizable</t>
  </si>
  <si>
    <t xml:space="preserve">Search: java 8 date time API LocalDate ZonedDateTime tutorial</t>
  </si>
  <si>
    <t xml:space="preserve">Search: java BigDecimal BigInteger rounding modes</t>
  </si>
  <si>
    <t xml:space="preserve">Search: java classloader delegation model bootstrap platform application</t>
  </si>
  <si>
    <t xml:space="preserve">Search: java strong soft weak phantom references; java memory leak causes</t>
  </si>
  <si>
    <t xml:space="preserve">Search: G1 vs ZGC vs Shenandoah explained; how to read GC logs java</t>
  </si>
  <si>
    <t xml:space="preserve">Search: jstack jmap jcmd tutorial; Java Flight Recorder tutorial; heap dump Eclipse MAT</t>
  </si>
  <si>
    <t xml:space="preserve">Search: maven tutorial for beginners java; gradle java tutorial</t>
  </si>
  <si>
    <t xml:space="preserve">Search: JUnit 5 tutorial; Mockito tutorial java</t>
  </si>
  <si>
    <t xml:space="preserve">Search: slf4j logback tutorial java</t>
  </si>
  <si>
    <t xml:space="preserve">Search: data structures in java from scratch (linked list, BST, heap, graph)</t>
  </si>
  <si>
    <t xml:space="preserve">E has only basic logic programs. Search: DSA in Java playlist</t>
  </si>
  <si>
    <t xml:space="preserve">Search: java TreeMap floorKey ceilingKey; java BitSet; PriorityQueue comparator</t>
  </si>
  <si>
    <t xml:space="preserve">Init order across inheritance not covered by title. Search: java initialization order static instance block constructor</t>
  </si>
  <si>
    <t xml:space="preserve">Clone()/Cloneable not in any title. Search: java clone Cloneable shallow deep copy</t>
  </si>
  <si>
    <t xml:space="preserve">Only named in A#29 title; suppressed exceptions not mentioned. Search: java try-with-resources suppressed exceptions</t>
  </si>
  <si>
    <t xml:space="preserve">D#30 covers Iterable/Iterator; fail-fast vs fail-safe not in title. Search: java fail-fast fail-safe ConcurrentModificationException</t>
  </si>
  <si>
    <t xml:space="preserve">D#50 touches visibility/ordering only. Search: java memory model happens-before explained</t>
  </si>
  <si>
    <t xml:space="preserve">Phaser/Exchanger not in any title</t>
  </si>
  <si>
    <t xml:space="preserve">Search: java array covariance ArrayStoreException</t>
  </si>
  <si>
    <t xml:space="preserve">Search: java regex Pattern Matcher tutorial; java regular expressions lookahead groups</t>
  </si>
  <si>
    <t xml:space="preserve">Search: java transient native strictfp keywords explained (volatile &amp; synchronized are covered in Phase 8)</t>
  </si>
  <si>
    <t xml:space="preserve">Search: java custom Collector.of; java mapMulti stream</t>
  </si>
  <si>
    <t xml:space="preserve">Search: java socket programming ServerSocket; java HttpClient tutorial</t>
  </si>
  <si>
    <t xml:space="preserve">Search: java Objects UUID Properties ResourceBundle; System.nanoTime arraycopy</t>
  </si>
  <si>
    <t xml:space="preserve">Search: java 21 structured concurrency; java scoped values; java Flow API</t>
  </si>
  <si>
    <t xml:space="preserve">Search: java annotation processor tutorial</t>
  </si>
  <si>
    <t xml:space="preserve">Search: java dynamic proxy InvocationHandler; MethodHandles VarHandle</t>
  </si>
  <si>
    <t xml:space="preserve">Search: JMH java microbenchmark tutorial</t>
  </si>
  <si>
    <t xml:space="preserve">Search: java var keyword local variable type inference</t>
  </si>
  <si>
    <t xml:space="preserve">Search: java 9 modules module-info jlink</t>
  </si>
  <si>
    <t xml:space="preserve">Search: java foreign function memory API; java vector API</t>
  </si>
  <si>
    <t xml:space="preserve">Search: checkstyle spotbugs jacoco java tutorial</t>
  </si>
  <si>
    <t xml:space="preserve">JIT only named in A#2. Search: java JIT tiered compilation C1 C2; GraalVM native image</t>
  </si>
  <si>
    <t xml:space="preserve">Bytecode only named in A#2. Search: javap bytecode instructions class file structure</t>
  </si>
  <si>
    <t xml:space="preserve">B#20 covers reading API docs; writing Javadoc not covered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</si>
</sst>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6060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D966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7F7F7F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playlist?list=PLA3GkZPtsafY62QhQ030p85HAer0pFDdr" TargetMode="External"/><Relationship Id="rId2" Type="http://schemas.openxmlformats.org/officeDocument/2006/relationships/hyperlink" Target="https://www.youtube.com/playlist?list=PLYQLxi4fXFVbcSYTxDRuGf9k721ue61fC" TargetMode="External"/><Relationship Id="rId3" Type="http://schemas.openxmlformats.org/officeDocument/2006/relationships/hyperlink" Target="https://www.youtube.com/playlist?list=PL6W8uoQQ2c63f469AyV78np0rbxRFppkx" TargetMode="External"/><Relationship Id="rId4" Type="http://schemas.openxmlformats.org/officeDocument/2006/relationships/hyperlink" Target="https://www.youtube.com/playlist?list=PLQEaRBV9gAFsR15tNo2QLF9d2qc-c018p" TargetMode="External"/><Relationship Id="rId5" Type="http://schemas.openxmlformats.org/officeDocument/2006/relationships/hyperlink" Target="https://www.youtube.com/playlist?list=PLqleLpAMfxGAdqZeY_4uVQOPCnAjhH-eT" TargetMode="External"/><Relationship Id="rId6" Type="http://schemas.openxmlformats.org/officeDocument/2006/relationships/hyperlink" Target="https://www.youtube.com/watch?v=WPwaj8hEKH0&amp;list=PLYQLxi4fXFVbcSYTxDRuGf9k721ue61fC" TargetMode="External"/><Relationship Id="rId7" Type="http://schemas.openxmlformats.org/officeDocument/2006/relationships/hyperlink" Target="https://www.youtube.com/watch?v=GeG895R5EtU&amp;list=PL6W8uoQQ2c63f469AyV78np0rbxRFppkx" TargetMode="External"/><Relationship Id="rId8" Type="http://schemas.openxmlformats.org/officeDocument/2006/relationships/hyperlink" Target="https://www.youtube.com/watch?v=LBqE4YOvhyc&amp;list=PLQEaRBV9gAFsR15tNo2QLF9d2qc-c018p" TargetMode="External"/><Relationship Id="rId9" Type="http://schemas.openxmlformats.org/officeDocument/2006/relationships/hyperlink" Target="https://www.youtube.com/watch?v=AwOCJzcq-vw&amp;list=PLqleLpAMfxGAdqZeY_4uVQOPCnAjhH-eT" TargetMode="External"/><Relationship Id="rId10" Type="http://schemas.openxmlformats.org/officeDocument/2006/relationships/hyperlink" Target="https://www.youtube.com/watch?v=tkWUF7RJT7o&amp;list=PLYQLxi4fXFVbcSYTxDRuGf9k721ue61fC" TargetMode="External"/><Relationship Id="rId11" Type="http://schemas.openxmlformats.org/officeDocument/2006/relationships/hyperlink" Target="https://www.youtube.com/watch?v=LBqE4YOvhyc&amp;list=PLQEaRBV9gAFsR15tNo2QLF9d2qc-c018p" TargetMode="External"/><Relationship Id="rId12" Type="http://schemas.openxmlformats.org/officeDocument/2006/relationships/hyperlink" Target="https://www.youtube.com/watch?v=WYpQ1VkXag0&amp;list=PLqleLpAMfxGAdqZeY_4uVQOPCnAjhH-eT" TargetMode="External"/><Relationship Id="rId13" Type="http://schemas.openxmlformats.org/officeDocument/2006/relationships/hyperlink" Target="https://www.youtube.com/watch?v=oveyab6lO_E&amp;list=PLA3GkZPtsafY62QhQ030p85HAer0pFDdr" TargetMode="External"/><Relationship Id="rId14" Type="http://schemas.openxmlformats.org/officeDocument/2006/relationships/hyperlink" Target="https://www.youtube.com/watch?v=466DQOOl14M&amp;list=PLYQLxi4fXFVbcSYTxDRuGf9k721ue61fC" TargetMode="External"/><Relationship Id="rId15" Type="http://schemas.openxmlformats.org/officeDocument/2006/relationships/hyperlink" Target="https://www.youtube.com/watch?v=BznUgu3YPn4&amp;list=PLqleLpAMfxGAdqZeY_4uVQOPCnAjhH-eT" TargetMode="External"/><Relationship Id="rId16" Type="http://schemas.openxmlformats.org/officeDocument/2006/relationships/hyperlink" Target="https://www.youtube.com/watch?v=0vvCgTM-tLI&amp;list=PLA3GkZPtsafY62QhQ030p85HAer0pFDdr" TargetMode="External"/><Relationship Id="rId17" Type="http://schemas.openxmlformats.org/officeDocument/2006/relationships/hyperlink" Target="https://www.youtube.com/watch?v=R1I7am-KVv0&amp;list=PLYQLxi4fXFVbcSYTxDRuGf9k721ue61fC" TargetMode="External"/><Relationship Id="rId18" Type="http://schemas.openxmlformats.org/officeDocument/2006/relationships/hyperlink" Target="https://www.youtube.com/watch?v=IoireaKRRFo&amp;list=PL6W8uoQQ2c63f469AyV78np0rbxRFppkx" TargetMode="External"/><Relationship Id="rId19" Type="http://schemas.openxmlformats.org/officeDocument/2006/relationships/hyperlink" Target="https://www.youtube.com/watch?v=pdS8_smlsXA&amp;list=PLQEaRBV9gAFsR15tNo2QLF9d2qc-c018p" TargetMode="External"/><Relationship Id="rId20" Type="http://schemas.openxmlformats.org/officeDocument/2006/relationships/hyperlink" Target="https://www.youtube.com/watch?v=gX4TEXQJaTI&amp;list=PLqleLpAMfxGAdqZeY_4uVQOPCnAjhH-eT" TargetMode="External"/><Relationship Id="rId21" Type="http://schemas.openxmlformats.org/officeDocument/2006/relationships/hyperlink" Target="https://www.youtube.com/watch?v=n11XtXnHUgw&amp;list=PLA3GkZPtsafY62QhQ030p85HAer0pFDdr" TargetMode="External"/><Relationship Id="rId22" Type="http://schemas.openxmlformats.org/officeDocument/2006/relationships/hyperlink" Target="https://www.youtube.com/watch?v=_4jHK0lW1Dw&amp;list=PLYQLxi4fXFVbcSYTxDRuGf9k721ue61fC" TargetMode="External"/><Relationship Id="rId23" Type="http://schemas.openxmlformats.org/officeDocument/2006/relationships/hyperlink" Target="https://www.youtube.com/watch?v=ijEJJuIQdzY&amp;list=PL6W8uoQQ2c63f469AyV78np0rbxRFppkx" TargetMode="External"/><Relationship Id="rId24" Type="http://schemas.openxmlformats.org/officeDocument/2006/relationships/hyperlink" Target="https://www.youtube.com/watch?v=pdS8_smlsXA&amp;list=PLQEaRBV9gAFsR15tNo2QLF9d2qc-c018p" TargetMode="External"/><Relationship Id="rId25" Type="http://schemas.openxmlformats.org/officeDocument/2006/relationships/hyperlink" Target="https://www.youtube.com/watch?v=Ktc3U54RGwY&amp;list=PLqleLpAMfxGAdqZeY_4uVQOPCnAjhH-eT" TargetMode="External"/><Relationship Id="rId26" Type="http://schemas.openxmlformats.org/officeDocument/2006/relationships/hyperlink" Target="https://www.youtube.com/watch?v=tdrwQMWSXdE&amp;list=PLA3GkZPtsafY62QhQ030p85HAer0pFDdr" TargetMode="External"/><Relationship Id="rId27" Type="http://schemas.openxmlformats.org/officeDocument/2006/relationships/hyperlink" Target="https://www.youtube.com/watch?v=16uMi7dvrZk&amp;list=PLYQLxi4fXFVbcSYTxDRuGf9k721ue61fC" TargetMode="External"/><Relationship Id="rId28" Type="http://schemas.openxmlformats.org/officeDocument/2006/relationships/hyperlink" Target="https://www.youtube.com/watch?v=Q6_jrvz-R7w&amp;list=PL6W8uoQQ2c63f469AyV78np0rbxRFppkx" TargetMode="External"/><Relationship Id="rId29" Type="http://schemas.openxmlformats.org/officeDocument/2006/relationships/hyperlink" Target="https://www.youtube.com/watch?v=NtmULLvsABc&amp;list=PLQEaRBV9gAFsR15tNo2QLF9d2qc-c018p" TargetMode="External"/><Relationship Id="rId30" Type="http://schemas.openxmlformats.org/officeDocument/2006/relationships/hyperlink" Target="https://www.youtube.com/watch?v=KPqSd6sKNPE&amp;list=PLqleLpAMfxGAdqZeY_4uVQOPCnAjhH-eT" TargetMode="External"/><Relationship Id="rId31" Type="http://schemas.openxmlformats.org/officeDocument/2006/relationships/hyperlink" Target="https://www.youtube.com/watch?v=NZ3qAfM8Ztw&amp;list=PL6W8uoQQ2c63f469AyV78np0rbxRFppkx" TargetMode="External"/><Relationship Id="rId32" Type="http://schemas.openxmlformats.org/officeDocument/2006/relationships/hyperlink" Target="https://www.youtube.com/watch?v=iV8hy9DdKFM&amp;list=PLQEaRBV9gAFsR15tNo2QLF9d2qc-c018p" TargetMode="External"/><Relationship Id="rId33" Type="http://schemas.openxmlformats.org/officeDocument/2006/relationships/hyperlink" Target="https://www.youtube.com/watch?v=EsLck9lkOPE&amp;list=PLA3GkZPtsafY62QhQ030p85HAer0pFDdr" TargetMode="External"/><Relationship Id="rId34" Type="http://schemas.openxmlformats.org/officeDocument/2006/relationships/hyperlink" Target="https://www.youtube.com/watch?v=cZ0mwI_ZSYw&amp;list=PLYQLxi4fXFVbcSYTxDRuGf9k721ue61fC" TargetMode="External"/><Relationship Id="rId35" Type="http://schemas.openxmlformats.org/officeDocument/2006/relationships/hyperlink" Target="https://www.youtube.com/watch?v=NtmULLvsABc&amp;list=PLQEaRBV9gAFsR15tNo2QLF9d2qc-c018p" TargetMode="External"/><Relationship Id="rId36" Type="http://schemas.openxmlformats.org/officeDocument/2006/relationships/hyperlink" Target="https://www.youtube.com/watch?v=EC0_QIWAfuk&amp;list=PLqleLpAMfxGAdqZeY_4uVQOPCnAjhH-eT" TargetMode="External"/><Relationship Id="rId37" Type="http://schemas.openxmlformats.org/officeDocument/2006/relationships/hyperlink" Target="https://www.youtube.com/watch?v=kGnKF1mnC78&amp;list=PLYQLxi4fXFVbcSYTxDRuGf9k721ue61fC" TargetMode="External"/><Relationship Id="rId38" Type="http://schemas.openxmlformats.org/officeDocument/2006/relationships/hyperlink" Target="https://www.youtube.com/watch?v=QpWha2cLS1c&amp;list=PLQEaRBV9gAFsR15tNo2QLF9d2qc-c018p" TargetMode="External"/><Relationship Id="rId39" Type="http://schemas.openxmlformats.org/officeDocument/2006/relationships/hyperlink" Target="https://www.youtube.com/watch?v=1WA9pddNZyU&amp;list=PLqleLpAMfxGAdqZeY_4uVQOPCnAjhH-eT" TargetMode="External"/><Relationship Id="rId40" Type="http://schemas.openxmlformats.org/officeDocument/2006/relationships/hyperlink" Target="https://www.youtube.com/watch?v=tdmoJo1AEEE&amp;list=PLA3GkZPtsafY62QhQ030p85HAer0pFDdr" TargetMode="External"/><Relationship Id="rId41" Type="http://schemas.openxmlformats.org/officeDocument/2006/relationships/hyperlink" Target="https://www.youtube.com/watch?v=XcvDWnnWf-8&amp;list=PLYQLxi4fXFVbcSYTxDRuGf9k721ue61fC" TargetMode="External"/><Relationship Id="rId42" Type="http://schemas.openxmlformats.org/officeDocument/2006/relationships/hyperlink" Target="https://www.youtube.com/watch?v=ZsyUkt0v-ko&amp;list=PL6W8uoQQ2c63f469AyV78np0rbxRFppkx" TargetMode="External"/><Relationship Id="rId43" Type="http://schemas.openxmlformats.org/officeDocument/2006/relationships/hyperlink" Target="https://www.youtube.com/watch?v=Tdq4fmDCJH8&amp;list=PLQEaRBV9gAFsR15tNo2QLF9d2qc-c018p" TargetMode="External"/><Relationship Id="rId44" Type="http://schemas.openxmlformats.org/officeDocument/2006/relationships/hyperlink" Target="https://www.youtube.com/watch?v=xKu0JL9L12I&amp;list=PLqleLpAMfxGAdqZeY_4uVQOPCnAjhH-eT" TargetMode="External"/><Relationship Id="rId45" Type="http://schemas.openxmlformats.org/officeDocument/2006/relationships/hyperlink" Target="https://www.youtube.com/watch?v=whb3BeqZc0M&amp;list=PLA3GkZPtsafY62QhQ030p85HAer0pFDdr" TargetMode="External"/><Relationship Id="rId46" Type="http://schemas.openxmlformats.org/officeDocument/2006/relationships/hyperlink" Target="https://www.youtube.com/watch?v=Tdq4fmDCJH8&amp;list=PLQEaRBV9gAFsR15tNo2QLF9d2qc-c018p" TargetMode="External"/><Relationship Id="rId47" Type="http://schemas.openxmlformats.org/officeDocument/2006/relationships/hyperlink" Target="https://www.youtube.com/watch?v=qZWgeUxQGwA&amp;list=PLqleLpAMfxGAdqZeY_4uVQOPCnAjhH-eT" TargetMode="External"/><Relationship Id="rId48" Type="http://schemas.openxmlformats.org/officeDocument/2006/relationships/hyperlink" Target="https://www.youtube.com/watch?v=kI7zWYFcYDo&amp;list=PLA3GkZPtsafY62QhQ030p85HAer0pFDdr" TargetMode="External"/><Relationship Id="rId49" Type="http://schemas.openxmlformats.org/officeDocument/2006/relationships/hyperlink" Target="https://www.youtube.com/watch?v=QUZthcLNrC4&amp;list=PLYQLxi4fXFVbcSYTxDRuGf9k721ue61fC" TargetMode="External"/><Relationship Id="rId50" Type="http://schemas.openxmlformats.org/officeDocument/2006/relationships/hyperlink" Target="https://www.youtube.com/watch?v=yfMWLZGEPwo&amp;list=PLQEaRBV9gAFsR15tNo2QLF9d2qc-c018p" TargetMode="External"/><Relationship Id="rId51" Type="http://schemas.openxmlformats.org/officeDocument/2006/relationships/hyperlink" Target="https://www.youtube.com/watch?v=X7JmjB2ZTPU&amp;list=PLqleLpAMfxGAdqZeY_4uVQOPCnAjhH-eT" TargetMode="External"/><Relationship Id="rId52" Type="http://schemas.openxmlformats.org/officeDocument/2006/relationships/hyperlink" Target="https://www.youtube.com/watch?v=cwPhMqH-IsE&amp;list=PLA3GkZPtsafY62QhQ030p85HAer0pFDdr" TargetMode="External"/><Relationship Id="rId53" Type="http://schemas.openxmlformats.org/officeDocument/2006/relationships/hyperlink" Target="https://www.youtube.com/watch?v=vv75CCIa4Mg&amp;list=PLYQLxi4fXFVbcSYTxDRuGf9k721ue61fC" TargetMode="External"/><Relationship Id="rId54" Type="http://schemas.openxmlformats.org/officeDocument/2006/relationships/hyperlink" Target="https://www.youtube.com/watch?v=Z2B5CYMEWfc&amp;list=PL6W8uoQQ2c63f469AyV78np0rbxRFppkx" TargetMode="External"/><Relationship Id="rId55" Type="http://schemas.openxmlformats.org/officeDocument/2006/relationships/hyperlink" Target="https://www.youtube.com/watch?v=cdNhXVb5j7o&amp;list=PLQEaRBV9gAFsR15tNo2QLF9d2qc-c018p" TargetMode="External"/><Relationship Id="rId56" Type="http://schemas.openxmlformats.org/officeDocument/2006/relationships/hyperlink" Target="https://www.youtube.com/watch?v=69GRzZh1Sdk&amp;list=PLqleLpAMfxGAdqZeY_4uVQOPCnAjhH-eT" TargetMode="External"/><Relationship Id="rId57" Type="http://schemas.openxmlformats.org/officeDocument/2006/relationships/hyperlink" Target="https://www.youtube.com/watch?v=jtgAtJ3xj6w&amp;list=PLA3GkZPtsafY62QhQ030p85HAer0pFDdr" TargetMode="External"/><Relationship Id="rId58" Type="http://schemas.openxmlformats.org/officeDocument/2006/relationships/hyperlink" Target="https://www.youtube.com/watch?v=UlPxEboU-DU&amp;list=PLYQLxi4fXFVbcSYTxDRuGf9k721ue61fC" TargetMode="External"/><Relationship Id="rId59" Type="http://schemas.openxmlformats.org/officeDocument/2006/relationships/hyperlink" Target="https://www.youtube.com/watch?v=Z2B5CYMEWfc&amp;list=PL6W8uoQQ2c63f469AyV78np0rbxRFppkx" TargetMode="External"/><Relationship Id="rId60" Type="http://schemas.openxmlformats.org/officeDocument/2006/relationships/hyperlink" Target="https://www.youtube.com/watch?v=d6hNDJrj1bw&amp;list=PLQEaRBV9gAFsR15tNo2QLF9d2qc-c018p" TargetMode="External"/><Relationship Id="rId61" Type="http://schemas.openxmlformats.org/officeDocument/2006/relationships/hyperlink" Target="https://www.youtube.com/watch?v=YiD7Nf4tC24&amp;list=PLqleLpAMfxGAdqZeY_4uVQOPCnAjhH-eT" TargetMode="External"/><Relationship Id="rId62" Type="http://schemas.openxmlformats.org/officeDocument/2006/relationships/hyperlink" Target="https://www.youtube.com/watch?v=UPjMnMkwKOQ&amp;list=PLA3GkZPtsafY62QhQ030p85HAer0pFDdr" TargetMode="External"/><Relationship Id="rId63" Type="http://schemas.openxmlformats.org/officeDocument/2006/relationships/hyperlink" Target="https://www.youtube.com/watch?v=cSgoqyqy-18&amp;list=PLYQLxi4fXFVbcSYTxDRuGf9k721ue61fC" TargetMode="External"/><Relationship Id="rId64" Type="http://schemas.openxmlformats.org/officeDocument/2006/relationships/hyperlink" Target="https://www.youtube.com/watch?v=ajNs-dylWIM&amp;list=PLQEaRBV9gAFsR15tNo2QLF9d2qc-c018p" TargetMode="External"/><Relationship Id="rId65" Type="http://schemas.openxmlformats.org/officeDocument/2006/relationships/hyperlink" Target="https://www.youtube.com/watch?v=_udey-r43W0&amp;list=PLqleLpAMfxGAdqZeY_4uVQOPCnAjhH-eT" TargetMode="External"/><Relationship Id="rId66" Type="http://schemas.openxmlformats.org/officeDocument/2006/relationships/hyperlink" Target="https://www.youtube.com/watch?v=J6JzjodMifk&amp;list=PLYQLxi4fXFVbcSYTxDRuGf9k721ue61fC" TargetMode="External"/><Relationship Id="rId67" Type="http://schemas.openxmlformats.org/officeDocument/2006/relationships/hyperlink" Target="https://www.youtube.com/watch?v=7zwevuymtfU&amp;list=PLqleLpAMfxGAdqZeY_4uVQOPCnAjhH-eT" TargetMode="External"/><Relationship Id="rId68" Type="http://schemas.openxmlformats.org/officeDocument/2006/relationships/hyperlink" Target="https://www.youtube.com/watch?v=zcAf83iwjos&amp;list=PLYQLxi4fXFVbcSYTxDRuGf9k721ue61fC" TargetMode="External"/><Relationship Id="rId69" Type="http://schemas.openxmlformats.org/officeDocument/2006/relationships/hyperlink" Target="https://www.youtube.com/watch?v=Lyg4ZcrjUBw&amp;list=PLQEaRBV9gAFsR15tNo2QLF9d2qc-c018p" TargetMode="External"/><Relationship Id="rId70" Type="http://schemas.openxmlformats.org/officeDocument/2006/relationships/hyperlink" Target="https://www.youtube.com/watch?v=cNktHZVMJLY&amp;list=PLA3GkZPtsafY62QhQ030p85HAer0pFDdr" TargetMode="External"/><Relationship Id="rId71" Type="http://schemas.openxmlformats.org/officeDocument/2006/relationships/hyperlink" Target="https://www.youtube.com/watch?v=UwaSDpQAlK4&amp;list=PLYQLxi4fXFVbcSYTxDRuGf9k721ue61fC" TargetMode="External"/><Relationship Id="rId72" Type="http://schemas.openxmlformats.org/officeDocument/2006/relationships/hyperlink" Target="https://www.youtube.com/watch?v=Lqan4AF9wzA&amp;list=PL6W8uoQQ2c63f469AyV78np0rbxRFppkx" TargetMode="External"/><Relationship Id="rId73" Type="http://schemas.openxmlformats.org/officeDocument/2006/relationships/hyperlink" Target="https://www.youtube.com/watch?v=IhtjMWXwNCc&amp;list=PLQEaRBV9gAFsR15tNo2QLF9d2qc-c018p" TargetMode="External"/><Relationship Id="rId74" Type="http://schemas.openxmlformats.org/officeDocument/2006/relationships/hyperlink" Target="https://www.youtube.com/watch?v=7AanUxN-NzI&amp;list=PLqleLpAMfxGAdqZeY_4uVQOPCnAjhH-eT" TargetMode="External"/><Relationship Id="rId75" Type="http://schemas.openxmlformats.org/officeDocument/2006/relationships/hyperlink" Target="https://www.youtube.com/watch?v=RC7jznvizAk&amp;list=PLA3GkZPtsafY62QhQ030p85HAer0pFDdr" TargetMode="External"/><Relationship Id="rId76" Type="http://schemas.openxmlformats.org/officeDocument/2006/relationships/hyperlink" Target="https://www.youtube.com/watch?v=IhtjMWXwNCc&amp;list=PLQEaRBV9gAFsR15tNo2QLF9d2qc-c018p" TargetMode="External"/><Relationship Id="rId77" Type="http://schemas.openxmlformats.org/officeDocument/2006/relationships/hyperlink" Target="https://www.youtube.com/watch?v=yLaYW7dmsfo&amp;list=PLqleLpAMfxGAdqZeY_4uVQOPCnAjhH-eT" TargetMode="External"/><Relationship Id="rId78" Type="http://schemas.openxmlformats.org/officeDocument/2006/relationships/hyperlink" Target="https://www.youtube.com/watch?v=7yd5qO2TPr0&amp;list=PLQEaRBV9gAFsR15tNo2QLF9d2qc-c018p" TargetMode="External"/><Relationship Id="rId79" Type="http://schemas.openxmlformats.org/officeDocument/2006/relationships/hyperlink" Target="https://www.youtube.com/watch?v=_s2DxPNIdqM&amp;list=PLqleLpAMfxGAdqZeY_4uVQOPCnAjhH-eT" TargetMode="External"/><Relationship Id="rId80" Type="http://schemas.openxmlformats.org/officeDocument/2006/relationships/hyperlink" Target="https://www.youtube.com/watch?v=0O_iH-vDuZ0&amp;list=PLA3GkZPtsafY62QhQ030p85HAer0pFDdr" TargetMode="External"/><Relationship Id="rId81" Type="http://schemas.openxmlformats.org/officeDocument/2006/relationships/hyperlink" Target="https://www.youtube.com/watch?v=N0b8lRXtK_Y&amp;list=PLQEaRBV9gAFsR15tNo2QLF9d2qc-c018p" TargetMode="External"/><Relationship Id="rId82" Type="http://schemas.openxmlformats.org/officeDocument/2006/relationships/hyperlink" Target="https://www.youtube.com/watch?v=co88Om5U4bQ&amp;list=PLqleLpAMfxGAdqZeY_4uVQOPCnAjhH-eT" TargetMode="External"/><Relationship Id="rId83" Type="http://schemas.openxmlformats.org/officeDocument/2006/relationships/hyperlink" Target="https://www.youtube.com/watch?v=4MJ0YHNzT1w&amp;list=PLA3GkZPtsafY62QhQ030p85HAer0pFDdr" TargetMode="External"/><Relationship Id="rId84" Type="http://schemas.openxmlformats.org/officeDocument/2006/relationships/hyperlink" Target="https://www.youtube.com/watch?v=BVul8M7LGfs&amp;list=PLYQLxi4fXFVbcSYTxDRuGf9k721ue61fC" TargetMode="External"/><Relationship Id="rId85" Type="http://schemas.openxmlformats.org/officeDocument/2006/relationships/hyperlink" Target="https://www.youtube.com/watch?v=JcAD9a22Rks&amp;list=PLQEaRBV9gAFsR15tNo2QLF9d2qc-c018p" TargetMode="External"/><Relationship Id="rId86" Type="http://schemas.openxmlformats.org/officeDocument/2006/relationships/hyperlink" Target="https://www.youtube.com/watch?v=-Br5SVB7bNQ&amp;list=PLqleLpAMfxGAdqZeY_4uVQOPCnAjhH-eT" TargetMode="External"/><Relationship Id="rId87" Type="http://schemas.openxmlformats.org/officeDocument/2006/relationships/hyperlink" Target="https://www.youtube.com/watch?v=HvpUTLSt5XM&amp;list=PLA3GkZPtsafY62QhQ030p85HAer0pFDdr" TargetMode="External"/><Relationship Id="rId88" Type="http://schemas.openxmlformats.org/officeDocument/2006/relationships/hyperlink" Target="https://www.youtube.com/watch?v=JcAD9a22Rks&amp;list=PLQEaRBV9gAFsR15tNo2QLF9d2qc-c018p" TargetMode="External"/><Relationship Id="rId89" Type="http://schemas.openxmlformats.org/officeDocument/2006/relationships/hyperlink" Target="https://www.youtube.com/watch?v=K1jjgg3x4nM&amp;list=PLqleLpAMfxGAdqZeY_4uVQOPCnAjhH-eT" TargetMode="External"/><Relationship Id="rId90" Type="http://schemas.openxmlformats.org/officeDocument/2006/relationships/hyperlink" Target="https://www.youtube.com/watch?v=LqPl23MTK5o&amp;list=PLA3GkZPtsafY62QhQ030p85HAer0pFDdr" TargetMode="External"/><Relationship Id="rId91" Type="http://schemas.openxmlformats.org/officeDocument/2006/relationships/hyperlink" Target="https://www.youtube.com/watch?v=MIYbPZCk34k&amp;list=PL6W8uoQQ2c63f469AyV78np0rbxRFppkx" TargetMode="External"/><Relationship Id="rId92" Type="http://schemas.openxmlformats.org/officeDocument/2006/relationships/hyperlink" Target="https://www.youtube.com/watch?v=tmXD7Kzun54&amp;list=PLQEaRBV9gAFsR15tNo2QLF9d2qc-c018p" TargetMode="External"/><Relationship Id="rId93" Type="http://schemas.openxmlformats.org/officeDocument/2006/relationships/hyperlink" Target="https://www.youtube.com/watch?v=AEo4KgwKYoU&amp;list=PLqleLpAMfxGAdqZeY_4uVQOPCnAjhH-eT" TargetMode="External"/><Relationship Id="rId94" Type="http://schemas.openxmlformats.org/officeDocument/2006/relationships/hyperlink" Target="https://www.youtube.com/watch?v=tkWUF7RJT7o&amp;list=PLYQLxi4fXFVbcSYTxDRuGf9k721ue61fC" TargetMode="External"/><Relationship Id="rId95" Type="http://schemas.openxmlformats.org/officeDocument/2006/relationships/hyperlink" Target="https://www.youtube.com/watch?v=aecJeZgl__4&amp;list=PL6W8uoQQ2c63f469AyV78np0rbxRFppkx" TargetMode="External"/><Relationship Id="rId96" Type="http://schemas.openxmlformats.org/officeDocument/2006/relationships/hyperlink" Target="https://www.youtube.com/watch?v=tmXD7Kzun54&amp;list=PLQEaRBV9gAFsR15tNo2QLF9d2qc-c018p" TargetMode="External"/><Relationship Id="rId97" Type="http://schemas.openxmlformats.org/officeDocument/2006/relationships/hyperlink" Target="https://www.youtube.com/watch?v=L677QCBCuWk&amp;list=PLqleLpAMfxGAdqZeY_4uVQOPCnAjhH-eT" TargetMode="External"/><Relationship Id="rId98" Type="http://schemas.openxmlformats.org/officeDocument/2006/relationships/hyperlink" Target="https://www.youtube.com/watch?v=uCAaTvO7dn0&amp;list=PLA3GkZPtsafY62QhQ030p85HAer0pFDdr" TargetMode="External"/><Relationship Id="rId99" Type="http://schemas.openxmlformats.org/officeDocument/2006/relationships/hyperlink" Target="https://www.youtube.com/watch?v=yi6ImSjCm8Q&amp;list=PLYQLxi4fXFVbcSYTxDRuGf9k721ue61fC" TargetMode="External"/><Relationship Id="rId100" Type="http://schemas.openxmlformats.org/officeDocument/2006/relationships/hyperlink" Target="https://www.youtube.com/watch?v=_hHtmSt5dSg&amp;list=PL6W8uoQQ2c63f469AyV78np0rbxRFppkx" TargetMode="External"/><Relationship Id="rId101" Type="http://schemas.openxmlformats.org/officeDocument/2006/relationships/hyperlink" Target="https://www.youtube.com/watch?v=RADpqk79IzQ&amp;list=PLQEaRBV9gAFsR15tNo2QLF9d2qc-c018p" TargetMode="External"/><Relationship Id="rId102" Type="http://schemas.openxmlformats.org/officeDocument/2006/relationships/hyperlink" Target="https://www.youtube.com/watch?v=Y1lP07CFP0Y&amp;list=PLqleLpAMfxGAdqZeY_4uVQOPCnAjhH-eT" TargetMode="External"/><Relationship Id="rId103" Type="http://schemas.openxmlformats.org/officeDocument/2006/relationships/hyperlink" Target="https://www.youtube.com/watch?v=oCtNZtP-6zk&amp;list=PLqleLpAMfxGAdqZeY_4uVQOPCnAjhH-eT" TargetMode="External"/><Relationship Id="rId104" Type="http://schemas.openxmlformats.org/officeDocument/2006/relationships/hyperlink" Target="https://www.youtube.com/watch?v=E61rVfoOFv0&amp;list=PLYQLxi4fXFVbcSYTxDRuGf9k721ue61fC" TargetMode="External"/><Relationship Id="rId105" Type="http://schemas.openxmlformats.org/officeDocument/2006/relationships/hyperlink" Target="https://www.youtube.com/watch?v=RADpqk79IzQ&amp;list=PLQEaRBV9gAFsR15tNo2QLF9d2qc-c018p" TargetMode="External"/><Relationship Id="rId106" Type="http://schemas.openxmlformats.org/officeDocument/2006/relationships/hyperlink" Target="https://www.youtube.com/watch?v=VIaTJFCXE1Q&amp;list=PLqleLpAMfxGAdqZeY_4uVQOPCnAjhH-eT" TargetMode="External"/><Relationship Id="rId107" Type="http://schemas.openxmlformats.org/officeDocument/2006/relationships/hyperlink" Target="https://www.youtube.com/watch?v=ifJ0eCrEC44&amp;list=PLA3GkZPtsafY62QhQ030p85HAer0pFDdr" TargetMode="External"/><Relationship Id="rId108" Type="http://schemas.openxmlformats.org/officeDocument/2006/relationships/hyperlink" Target="https://www.youtube.com/watch?v=zUIS6wXJn3k&amp;list=PLYQLxi4fXFVbcSYTxDRuGf9k721ue61fC" TargetMode="External"/><Relationship Id="rId109" Type="http://schemas.openxmlformats.org/officeDocument/2006/relationships/hyperlink" Target="https://www.youtube.com/watch?v=jfLpzL1VW7Q&amp;list=PLQEaRBV9gAFsR15tNo2QLF9d2qc-c018p" TargetMode="External"/><Relationship Id="rId110" Type="http://schemas.openxmlformats.org/officeDocument/2006/relationships/hyperlink" Target="https://www.youtube.com/watch?v=3JmMK-HvYJU&amp;list=PLqleLpAMfxGAdqZeY_4uVQOPCnAjhH-eT" TargetMode="External"/><Relationship Id="rId111" Type="http://schemas.openxmlformats.org/officeDocument/2006/relationships/hyperlink" Target="https://www.youtube.com/watch?v=ZlUuQIw-a9U&amp;list=PLA3GkZPtsafY62QhQ030p85HAer0pFDdr" TargetMode="External"/><Relationship Id="rId112" Type="http://schemas.openxmlformats.org/officeDocument/2006/relationships/hyperlink" Target="https://www.youtube.com/watch?v=2tfTECpZJRk&amp;list=PLYQLxi4fXFVbcSYTxDRuGf9k721ue61fC" TargetMode="External"/><Relationship Id="rId113" Type="http://schemas.openxmlformats.org/officeDocument/2006/relationships/hyperlink" Target="https://www.youtube.com/watch?v=CGHL1zuD5fY&amp;list=PLA3GkZPtsafY62QhQ030p85HAer0pFDdr" TargetMode="External"/><Relationship Id="rId114" Type="http://schemas.openxmlformats.org/officeDocument/2006/relationships/hyperlink" Target="https://www.youtube.com/watch?v=UYIu84vbCwQ&amp;list=PLYQLxi4fXFVbcSYTxDRuGf9k721ue61fC" TargetMode="External"/><Relationship Id="rId115" Type="http://schemas.openxmlformats.org/officeDocument/2006/relationships/hyperlink" Target="https://www.youtube.com/watch?v=jfLpzL1VW7Q&amp;list=PLQEaRBV9gAFsR15tNo2QLF9d2qc-c018p" TargetMode="External"/><Relationship Id="rId116" Type="http://schemas.openxmlformats.org/officeDocument/2006/relationships/hyperlink" Target="https://www.youtube.com/watch?v=sQavCfVF60A&amp;list=PLqleLpAMfxGAdqZeY_4uVQOPCnAjhH-eT" TargetMode="External"/><Relationship Id="rId117" Type="http://schemas.openxmlformats.org/officeDocument/2006/relationships/hyperlink" Target="https://www.youtube.com/watch?v=cNktHZVMJLY&amp;list=PLA3GkZPtsafY62QhQ030p85HAer0pFDdr" TargetMode="External"/><Relationship Id="rId118" Type="http://schemas.openxmlformats.org/officeDocument/2006/relationships/hyperlink" Target="https://www.youtube.com/watch?v=1gYECx_I8oc&amp;list=PLYQLxi4fXFVbcSYTxDRuGf9k721ue61fC" TargetMode="External"/><Relationship Id="rId119" Type="http://schemas.openxmlformats.org/officeDocument/2006/relationships/hyperlink" Target="https://www.youtube.com/watch?v=IhtjMWXwNCc&amp;list=PLQEaRBV9gAFsR15tNo2QLF9d2qc-c018p" TargetMode="External"/><Relationship Id="rId120" Type="http://schemas.openxmlformats.org/officeDocument/2006/relationships/hyperlink" Target="https://www.youtube.com/watch?v=V7SB1JFekgc&amp;list=PLqleLpAMfxGAdqZeY_4uVQOPCnAjhH-eT" TargetMode="External"/><Relationship Id="rId121" Type="http://schemas.openxmlformats.org/officeDocument/2006/relationships/hyperlink" Target="https://www.youtube.com/watch?v=TRlz0X5hD7E&amp;list=PLA3GkZPtsafY62QhQ030p85HAer0pFDdr" TargetMode="External"/><Relationship Id="rId122" Type="http://schemas.openxmlformats.org/officeDocument/2006/relationships/hyperlink" Target="https://www.youtube.com/watch?v=bmc8G2uypDk&amp;list=PLYQLxi4fXFVbcSYTxDRuGf9k721ue61fC" TargetMode="External"/><Relationship Id="rId123" Type="http://schemas.openxmlformats.org/officeDocument/2006/relationships/hyperlink" Target="https://www.youtube.com/watch?v=-L9BcU6Xk2c&amp;list=PLQEaRBV9gAFsR15tNo2QLF9d2qc-c018p" TargetMode="External"/><Relationship Id="rId124" Type="http://schemas.openxmlformats.org/officeDocument/2006/relationships/hyperlink" Target="https://www.youtube.com/watch?v=KcdgiEbnglY&amp;list=PLqleLpAMfxGAdqZeY_4uVQOPCnAjhH-eT" TargetMode="External"/><Relationship Id="rId125" Type="http://schemas.openxmlformats.org/officeDocument/2006/relationships/hyperlink" Target="https://www.youtube.com/watch?v=W0Qv4UkCo6k&amp;list=PLA3GkZPtsafY62QhQ030p85HAer0pFDdr" TargetMode="External"/><Relationship Id="rId126" Type="http://schemas.openxmlformats.org/officeDocument/2006/relationships/hyperlink" Target="https://www.youtube.com/watch?v=8ppgZPhB4yw&amp;list=PLYQLxi4fXFVbcSYTxDRuGf9k721ue61fC" TargetMode="External"/><Relationship Id="rId127" Type="http://schemas.openxmlformats.org/officeDocument/2006/relationships/hyperlink" Target="https://www.youtube.com/watch?v=-L9BcU6Xk2c&amp;list=PLQEaRBV9gAFsR15tNo2QLF9d2qc-c018p" TargetMode="External"/><Relationship Id="rId128" Type="http://schemas.openxmlformats.org/officeDocument/2006/relationships/hyperlink" Target="https://www.youtube.com/watch?v=QRCWc07_PDE&amp;list=PLqleLpAMfxGAdqZeY_4uVQOPCnAjhH-eT" TargetMode="External"/><Relationship Id="rId129" Type="http://schemas.openxmlformats.org/officeDocument/2006/relationships/hyperlink" Target="https://www.youtube.com/watch?v=PpxzFint1IA&amp;list=PLA3GkZPtsafY62QhQ030p85HAer0pFDdr" TargetMode="External"/><Relationship Id="rId130" Type="http://schemas.openxmlformats.org/officeDocument/2006/relationships/hyperlink" Target="https://www.youtube.com/watch?v=8ppgZPhB4yw&amp;list=PLYQLxi4fXFVbcSYTxDRuGf9k721ue61fC" TargetMode="External"/><Relationship Id="rId131" Type="http://schemas.openxmlformats.org/officeDocument/2006/relationships/hyperlink" Target="https://www.youtube.com/watch?v=aj3SLuDkGWg&amp;list=PL6W8uoQQ2c63f469AyV78np0rbxRFppkx" TargetMode="External"/><Relationship Id="rId132" Type="http://schemas.openxmlformats.org/officeDocument/2006/relationships/hyperlink" Target="https://www.youtube.com/watch?v=YLLFHuStkW8&amp;list=PLQEaRBV9gAFsR15tNo2QLF9d2qc-c018p" TargetMode="External"/><Relationship Id="rId133" Type="http://schemas.openxmlformats.org/officeDocument/2006/relationships/hyperlink" Target="https://www.youtube.com/watch?v=kHBji-fom6k&amp;list=PLqleLpAMfxGAdqZeY_4uVQOPCnAjhH-eT" TargetMode="External"/><Relationship Id="rId134" Type="http://schemas.openxmlformats.org/officeDocument/2006/relationships/hyperlink" Target="https://www.youtube.com/watch?v=OopzpExmisQ&amp;list=PLYQLxi4fXFVbcSYTxDRuGf9k721ue61fC" TargetMode="External"/><Relationship Id="rId135" Type="http://schemas.openxmlformats.org/officeDocument/2006/relationships/hyperlink" Target="https://www.youtube.com/watch?v=-L9BcU6Xk2c&amp;list=PLQEaRBV9gAFsR15tNo2QLF9d2qc-c018p" TargetMode="External"/><Relationship Id="rId136" Type="http://schemas.openxmlformats.org/officeDocument/2006/relationships/hyperlink" Target="https://www.youtube.com/watch?v=PmbnVy6p3mE&amp;list=PLqleLpAMfxGAdqZeY_4uVQOPCnAjhH-eT" TargetMode="External"/><Relationship Id="rId137" Type="http://schemas.openxmlformats.org/officeDocument/2006/relationships/hyperlink" Target="https://www.youtube.com/watch?v=RMqNAiFHkZA&amp;list=PLA3GkZPtsafY62QhQ030p85HAer0pFDdr" TargetMode="External"/><Relationship Id="rId138" Type="http://schemas.openxmlformats.org/officeDocument/2006/relationships/hyperlink" Target="https://www.youtube.com/watch?v=S_zLtcxxyto&amp;list=PLYQLxi4fXFVbcSYTxDRuGf9k721ue61fC" TargetMode="External"/><Relationship Id="rId139" Type="http://schemas.openxmlformats.org/officeDocument/2006/relationships/hyperlink" Target="https://www.youtube.com/watch?v=jfLpzL1VW7Q&amp;list=PLQEaRBV9gAFsR15tNo2QLF9d2qc-c018p" TargetMode="External"/><Relationship Id="rId140" Type="http://schemas.openxmlformats.org/officeDocument/2006/relationships/hyperlink" Target="https://www.youtube.com/watch?v=rcUvom0yj4g&amp;list=PLqleLpAMfxGAdqZeY_4uVQOPCnAjhH-eT" TargetMode="External"/><Relationship Id="rId141" Type="http://schemas.openxmlformats.org/officeDocument/2006/relationships/hyperlink" Target="https://www.youtube.com/watch?v=qfMOfbhVpB0&amp;list=PLA3GkZPtsafY62QhQ030p85HAer0pFDdr" TargetMode="External"/><Relationship Id="rId142" Type="http://schemas.openxmlformats.org/officeDocument/2006/relationships/hyperlink" Target="https://www.youtube.com/watch?v=8743UHjHilc&amp;list=PLYQLxi4fXFVbcSYTxDRuGf9k721ue61fC" TargetMode="External"/><Relationship Id="rId143" Type="http://schemas.openxmlformats.org/officeDocument/2006/relationships/hyperlink" Target="https://www.youtube.com/watch?v=Lyg4ZcrjUBw&amp;list=PLQEaRBV9gAFsR15tNo2QLF9d2qc-c018p" TargetMode="External"/><Relationship Id="rId144" Type="http://schemas.openxmlformats.org/officeDocument/2006/relationships/hyperlink" Target="https://www.youtube.com/watch?v=Cl4qT2hErZ8&amp;list=PLqleLpAMfxGAdqZeY_4uVQOPCnAjhH-eT" TargetMode="External"/><Relationship Id="rId145" Type="http://schemas.openxmlformats.org/officeDocument/2006/relationships/hyperlink" Target="https://www.youtube.com/watch?v=CYBDq23Uzt0&amp;list=PLA3GkZPtsafY62QhQ030p85HAer0pFDdr" TargetMode="External"/><Relationship Id="rId146" Type="http://schemas.openxmlformats.org/officeDocument/2006/relationships/hyperlink" Target="https://www.youtube.com/watch?v=2ioDSAWkY1o&amp;list=PLYQLxi4fXFVbcSYTxDRuGf9k721ue61fC" TargetMode="External"/><Relationship Id="rId147" Type="http://schemas.openxmlformats.org/officeDocument/2006/relationships/hyperlink" Target="https://www.youtube.com/watch?v=Lyg4ZcrjUBw&amp;list=PLQEaRBV9gAFsR15tNo2QLF9d2qc-c018p" TargetMode="External"/><Relationship Id="rId148" Type="http://schemas.openxmlformats.org/officeDocument/2006/relationships/hyperlink" Target="https://www.youtube.com/watch?v=i9llT4A43hg&amp;list=PLqleLpAMfxGAdqZeY_4uVQOPCnAjhH-eT" TargetMode="External"/><Relationship Id="rId149" Type="http://schemas.openxmlformats.org/officeDocument/2006/relationships/hyperlink" Target="https://www.youtube.com/watch?v=IB87CmoyMeY&amp;list=PLA3GkZPtsafY62QhQ030p85HAer0pFDdr" TargetMode="External"/><Relationship Id="rId150" Type="http://schemas.openxmlformats.org/officeDocument/2006/relationships/hyperlink" Target="https://www.youtube.com/watch?v=aecJeZgl__4&amp;list=PL6W8uoQQ2c63f469AyV78np0rbxRFppkx" TargetMode="External"/><Relationship Id="rId151" Type="http://schemas.openxmlformats.org/officeDocument/2006/relationships/hyperlink" Target="https://www.youtube.com/watch?v=0LaBK28_470&amp;list=PLQEaRBV9gAFsR15tNo2QLF9d2qc-c018p" TargetMode="External"/><Relationship Id="rId152" Type="http://schemas.openxmlformats.org/officeDocument/2006/relationships/hyperlink" Target="https://www.youtube.com/watch?v=fn1WnFQq0aw&amp;list=PLYQLxi4fXFVbcSYTxDRuGf9k721ue61fC" TargetMode="External"/><Relationship Id="rId153" Type="http://schemas.openxmlformats.org/officeDocument/2006/relationships/hyperlink" Target="https://www.youtube.com/watch?v=541Zpv6sOKo&amp;list=PLQEaRBV9gAFsR15tNo2QLF9d2qc-c018p" TargetMode="External"/><Relationship Id="rId154" Type="http://schemas.openxmlformats.org/officeDocument/2006/relationships/hyperlink" Target="https://www.youtube.com/watch?v=7yd5qO2TPr0&amp;list=PLQEaRBV9gAFsR15tNo2QLF9d2qc-c018p" TargetMode="External"/><Relationship Id="rId155" Type="http://schemas.openxmlformats.org/officeDocument/2006/relationships/hyperlink" Target="https://www.youtube.com/watch?v=CBfbfQ5Pbyg&amp;list=PLqleLpAMfxGAdqZeY_4uVQOPCnAjhH-eT" TargetMode="External"/><Relationship Id="rId156" Type="http://schemas.openxmlformats.org/officeDocument/2006/relationships/hyperlink" Target="https://www.youtube.com/watch?v=SqDbZOjW1uM&amp;list=PL6W8uoQQ2c63f469AyV78np0rbxRFppkx" TargetMode="External"/><Relationship Id="rId157" Type="http://schemas.openxmlformats.org/officeDocument/2006/relationships/hyperlink" Target="https://www.youtube.com/watch?v=vgQVz5OdFws&amp;list=PLQEaRBV9gAFsR15tNo2QLF9d2qc-c018p" TargetMode="External"/><Relationship Id="rId158" Type="http://schemas.openxmlformats.org/officeDocument/2006/relationships/hyperlink" Target="https://www.youtube.com/watch?v=4tJB6XLXN_w&amp;list=PLYQLxi4fXFVbcSYTxDRuGf9k721ue61fC" TargetMode="External"/><Relationship Id="rId159" Type="http://schemas.openxmlformats.org/officeDocument/2006/relationships/hyperlink" Target="https://www.youtube.com/watch?v=zNCtAAqxjT0&amp;list=PL6W8uoQQ2c63f469AyV78np0rbxRFppkx" TargetMode="External"/><Relationship Id="rId160" Type="http://schemas.openxmlformats.org/officeDocument/2006/relationships/hyperlink" Target="https://www.youtube.com/watch?v=crVwHNW-fX8&amp;list=PLQEaRBV9gAFsR15tNo2QLF9d2qc-c018p" TargetMode="External"/><Relationship Id="rId161" Type="http://schemas.openxmlformats.org/officeDocument/2006/relationships/hyperlink" Target="https://www.youtube.com/watch?v=suBZpy8Z2VY&amp;list=PLA3GkZPtsafY62QhQ030p85HAer0pFDdr" TargetMode="External"/><Relationship Id="rId162" Type="http://schemas.openxmlformats.org/officeDocument/2006/relationships/hyperlink" Target="https://www.youtube.com/watch?v=RTrYtg2WjP0&amp;list=PLYQLxi4fXFVbcSYTxDRuGf9k721ue61fC" TargetMode="External"/><Relationship Id="rId163" Type="http://schemas.openxmlformats.org/officeDocument/2006/relationships/hyperlink" Target="https://www.youtube.com/watch?v=crVwHNW-fX8&amp;list=PLQEaRBV9gAFsR15tNo2QLF9d2qc-c018p" TargetMode="External"/><Relationship Id="rId164" Type="http://schemas.openxmlformats.org/officeDocument/2006/relationships/hyperlink" Target="https://www.youtube.com/watch?v=rAlplrI8Y3Q&amp;list=PLA3GkZPtsafY62QhQ030p85HAer0pFDdr" TargetMode="External"/><Relationship Id="rId165" Type="http://schemas.openxmlformats.org/officeDocument/2006/relationships/hyperlink" Target="https://www.youtube.com/watch?v=JnAjqvcOzdY&amp;list=PLYQLxi4fXFVbcSYTxDRuGf9k721ue61fC" TargetMode="External"/><Relationship Id="rId166" Type="http://schemas.openxmlformats.org/officeDocument/2006/relationships/hyperlink" Target="https://www.youtube.com/watch?v=zNCtAAqxjT0&amp;list=PL6W8uoQQ2c63f469AyV78np0rbxRFppkx" TargetMode="External"/><Relationship Id="rId167" Type="http://schemas.openxmlformats.org/officeDocument/2006/relationships/hyperlink" Target="https://www.youtube.com/watch?v=oXhy5dT-0Qs&amp;list=PLQEaRBV9gAFsR15tNo2QLF9d2qc-c018p" TargetMode="External"/><Relationship Id="rId168" Type="http://schemas.openxmlformats.org/officeDocument/2006/relationships/hyperlink" Target="https://www.youtube.com/watch?v=w7ZyscLnaM4&amp;list=PL6W8uoQQ2c63f469AyV78np0rbxRFppkx" TargetMode="External"/><Relationship Id="rId169" Type="http://schemas.openxmlformats.org/officeDocument/2006/relationships/hyperlink" Target="https://www.youtube.com/watch?v=BgBDbc8F4A8&amp;list=PL6W8uoQQ2c63f469AyV78np0rbxRFppkx" TargetMode="External"/><Relationship Id="rId170" Type="http://schemas.openxmlformats.org/officeDocument/2006/relationships/hyperlink" Target="https://www.youtube.com/watch?v=q_mEmB6YW_A&amp;list=PLA3GkZPtsafY62QhQ030p85HAer0pFDdr" TargetMode="External"/><Relationship Id="rId171" Type="http://schemas.openxmlformats.org/officeDocument/2006/relationships/hyperlink" Target="https://www.youtube.com/watch?v=IZu5rZTN7PI&amp;list=PLA3GkZPtsafY62QhQ030p85HAer0pFDdr" TargetMode="External"/><Relationship Id="rId172" Type="http://schemas.openxmlformats.org/officeDocument/2006/relationships/hyperlink" Target="https://www.youtube.com/watch?v=9Yqkihd4cdQ&amp;list=PLYQLxi4fXFVbcSYTxDRuGf9k721ue61fC" TargetMode="External"/><Relationship Id="rId173" Type="http://schemas.openxmlformats.org/officeDocument/2006/relationships/hyperlink" Target="https://www.youtube.com/watch?v=tw4wWCsGNe4&amp;list=PL6W8uoQQ2c63f469AyV78np0rbxRFppkx" TargetMode="External"/><Relationship Id="rId174" Type="http://schemas.openxmlformats.org/officeDocument/2006/relationships/hyperlink" Target="https://www.youtube.com/watch?v=mJg9iQZJEpw&amp;list=PLQEaRBV9gAFsR15tNo2QLF9d2qc-c018p" TargetMode="External"/><Relationship Id="rId175" Type="http://schemas.openxmlformats.org/officeDocument/2006/relationships/hyperlink" Target="https://www.youtube.com/watch?v=bxcZ7cXbDI0&amp;list=PLqleLpAMfxGAdqZeY_4uVQOPCnAjhH-eT" TargetMode="External"/><Relationship Id="rId176" Type="http://schemas.openxmlformats.org/officeDocument/2006/relationships/hyperlink" Target="https://www.youtube.com/watch?v=IZu5rZTN7PI&amp;list=PLA3GkZPtsafY62QhQ030p85HAer0pFDdr" TargetMode="External"/><Relationship Id="rId177" Type="http://schemas.openxmlformats.org/officeDocument/2006/relationships/hyperlink" Target="https://www.youtube.com/watch?v=bLtWrKCA5GI&amp;list=PLYQLxi4fXFVbcSYTxDRuGf9k721ue61fC" TargetMode="External"/><Relationship Id="rId178" Type="http://schemas.openxmlformats.org/officeDocument/2006/relationships/hyperlink" Target="https://www.youtube.com/watch?v=tw4wWCsGNe4&amp;list=PL6W8uoQQ2c63f469AyV78np0rbxRFppkx" TargetMode="External"/><Relationship Id="rId179" Type="http://schemas.openxmlformats.org/officeDocument/2006/relationships/hyperlink" Target="https://www.youtube.com/watch?v=mJg9iQZJEpw&amp;list=PLQEaRBV9gAFsR15tNo2QLF9d2qc-c018p" TargetMode="External"/><Relationship Id="rId180" Type="http://schemas.openxmlformats.org/officeDocument/2006/relationships/hyperlink" Target="https://www.youtube.com/watch?v=aAkatKJkjYs&amp;list=PLqleLpAMfxGAdqZeY_4uVQOPCnAjhH-eT" TargetMode="External"/><Relationship Id="rId181" Type="http://schemas.openxmlformats.org/officeDocument/2006/relationships/hyperlink" Target="https://www.youtube.com/watch?v=IZu5rZTN7PI&amp;list=PLA3GkZPtsafY62QhQ030p85HAer0pFDdr" TargetMode="External"/><Relationship Id="rId182" Type="http://schemas.openxmlformats.org/officeDocument/2006/relationships/hyperlink" Target="https://www.youtube.com/watch?v=nzHB_bd3VwI&amp;list=PLYQLxi4fXFVbcSYTxDRuGf9k721ue61fC" TargetMode="External"/><Relationship Id="rId183" Type="http://schemas.openxmlformats.org/officeDocument/2006/relationships/hyperlink" Target="https://www.youtube.com/watch?v=xTxscoajikw&amp;list=PLQEaRBV9gAFsR15tNo2QLF9d2qc-c018p" TargetMode="External"/><Relationship Id="rId184" Type="http://schemas.openxmlformats.org/officeDocument/2006/relationships/hyperlink" Target="https://www.youtube.com/watch?v=1YCPyfLIo2o&amp;list=PLqleLpAMfxGAdqZeY_4uVQOPCnAjhH-eT" TargetMode="External"/><Relationship Id="rId185" Type="http://schemas.openxmlformats.org/officeDocument/2006/relationships/hyperlink" Target="https://www.youtube.com/watch?v=IZu5rZTN7PI&amp;list=PLA3GkZPtsafY62QhQ030p85HAer0pFDdr" TargetMode="External"/><Relationship Id="rId186" Type="http://schemas.openxmlformats.org/officeDocument/2006/relationships/hyperlink" Target="https://www.youtube.com/watch?v=IZu5rZTN7PI&amp;list=PLA3GkZPtsafY62QhQ030p85HAer0pFDdr" TargetMode="External"/><Relationship Id="rId187" Type="http://schemas.openxmlformats.org/officeDocument/2006/relationships/hyperlink" Target="https://www.youtube.com/watch?v=Dxjw4DEL2zQ&amp;list=PLYQLxi4fXFVbcSYTxDRuGf9k721ue61fC" TargetMode="External"/><Relationship Id="rId188" Type="http://schemas.openxmlformats.org/officeDocument/2006/relationships/hyperlink" Target="https://www.youtube.com/watch?v=xTxscoajikw&amp;list=PLQEaRBV9gAFsR15tNo2QLF9d2qc-c018p" TargetMode="External"/><Relationship Id="rId189" Type="http://schemas.openxmlformats.org/officeDocument/2006/relationships/hyperlink" Target="https://www.youtube.com/watch?v=EzRFgv6YAus&amp;list=PLqleLpAMfxGAdqZeY_4uVQOPCnAjhH-eT" TargetMode="External"/><Relationship Id="rId190" Type="http://schemas.openxmlformats.org/officeDocument/2006/relationships/hyperlink" Target="https://www.youtube.com/watch?v=5O8Wca2eQMg&amp;list=PLqleLpAMfxGAdqZeY_4uVQOPCnAjhH-eT" TargetMode="External"/><Relationship Id="rId191" Type="http://schemas.openxmlformats.org/officeDocument/2006/relationships/hyperlink" Target="https://www.youtube.com/watch?v=UypoeUL4T_U&amp;list=PLA3GkZPtsafY62QhQ030p85HAer0pFDdr" TargetMode="External"/><Relationship Id="rId192" Type="http://schemas.openxmlformats.org/officeDocument/2006/relationships/hyperlink" Target="https://www.youtube.com/watch?v=KMDFvVUSQzI&amp;list=PLYQLxi4fXFVbcSYTxDRuGf9k721ue61fC" TargetMode="External"/><Relationship Id="rId193" Type="http://schemas.openxmlformats.org/officeDocument/2006/relationships/hyperlink" Target="https://www.youtube.com/watch?v=NCx_ABybp2o&amp;list=PL6W8uoQQ2c63f469AyV78np0rbxRFppkx" TargetMode="External"/><Relationship Id="rId194" Type="http://schemas.openxmlformats.org/officeDocument/2006/relationships/hyperlink" Target="https://www.youtube.com/watch?v=Y7X_ReDF3x8&amp;list=PLQEaRBV9gAFsR15tNo2QLF9d2qc-c018p" TargetMode="External"/><Relationship Id="rId195" Type="http://schemas.openxmlformats.org/officeDocument/2006/relationships/hyperlink" Target="https://www.youtube.com/watch?v=Y7X_ReDF3x8&amp;list=PLQEaRBV9gAFsR15tNo2QLF9d2qc-c018p" TargetMode="External"/><Relationship Id="rId196" Type="http://schemas.openxmlformats.org/officeDocument/2006/relationships/hyperlink" Target="https://www.youtube.com/watch?v=92k5uokmW9o&amp;list=PLA3GkZPtsafY62QhQ030p85HAer0pFDdr" TargetMode="External"/><Relationship Id="rId197" Type="http://schemas.openxmlformats.org/officeDocument/2006/relationships/hyperlink" Target="https://www.youtube.com/watch?v=99GRjxNQhb8&amp;list=PLYQLxi4fXFVbcSYTxDRuGf9k721ue61fC" TargetMode="External"/><Relationship Id="rId198" Type="http://schemas.openxmlformats.org/officeDocument/2006/relationships/hyperlink" Target="https://www.youtube.com/watch?v=TT1-qsuHMXs&amp;list=PL6W8uoQQ2c63f469AyV78np0rbxRFppkx" TargetMode="External"/><Relationship Id="rId199" Type="http://schemas.openxmlformats.org/officeDocument/2006/relationships/hyperlink" Target="https://www.youtube.com/watch?v=mW2OO6d6_BE&amp;list=PLQEaRBV9gAFsR15tNo2QLF9d2qc-c018p" TargetMode="External"/><Relationship Id="rId200" Type="http://schemas.openxmlformats.org/officeDocument/2006/relationships/hyperlink" Target="https://www.youtube.com/watch?v=8SoPJYABryI&amp;list=PLqleLpAMfxGAdqZeY_4uVQOPCnAjhH-eT" TargetMode="External"/><Relationship Id="rId201" Type="http://schemas.openxmlformats.org/officeDocument/2006/relationships/hyperlink" Target="https://www.youtube.com/watch?v=LVwpxEZ6uMQ&amp;list=PLQEaRBV9gAFsR15tNo2QLF9d2qc-c018p" TargetMode="External"/><Relationship Id="rId202" Type="http://schemas.openxmlformats.org/officeDocument/2006/relationships/hyperlink" Target="https://www.youtube.com/watch?v=92k5uokmW9o&amp;list=PLA3GkZPtsafY62QhQ030p85HAer0pFDdr" TargetMode="External"/><Relationship Id="rId203" Type="http://schemas.openxmlformats.org/officeDocument/2006/relationships/hyperlink" Target="https://www.youtube.com/watch?v=KMDFvVUSQzI&amp;list=PLYQLxi4fXFVbcSYTxDRuGf9k721ue61fC" TargetMode="External"/><Relationship Id="rId204" Type="http://schemas.openxmlformats.org/officeDocument/2006/relationships/hyperlink" Target="https://www.youtube.com/watch?v=0P6ToH8mi14&amp;list=PL6W8uoQQ2c63f469AyV78np0rbxRFppkx" TargetMode="External"/><Relationship Id="rId205" Type="http://schemas.openxmlformats.org/officeDocument/2006/relationships/hyperlink" Target="https://www.youtube.com/watch?v=OfNtIOGDqzY&amp;list=PLQEaRBV9gAFsR15tNo2QLF9d2qc-c018p" TargetMode="External"/><Relationship Id="rId206" Type="http://schemas.openxmlformats.org/officeDocument/2006/relationships/hyperlink" Target="https://www.youtube.com/watch?v=92k5uokmW9o&amp;list=PLA3GkZPtsafY62QhQ030p85HAer0pFDdr" TargetMode="External"/><Relationship Id="rId207" Type="http://schemas.openxmlformats.org/officeDocument/2006/relationships/hyperlink" Target="https://www.youtube.com/watch?v=iw-sOdNEWQk&amp;list=PLYQLxi4fXFVbcSYTxDRuGf9k721ue61fC" TargetMode="External"/><Relationship Id="rId208" Type="http://schemas.openxmlformats.org/officeDocument/2006/relationships/hyperlink" Target="https://www.youtube.com/watch?v=gikFgvzFuwo&amp;list=PL6W8uoQQ2c63f469AyV78np0rbxRFppkx" TargetMode="External"/><Relationship Id="rId209" Type="http://schemas.openxmlformats.org/officeDocument/2006/relationships/hyperlink" Target="https://www.youtube.com/watch?v=kzZ1TlGTWmY&amp;list=PLQEaRBV9gAFsR15tNo2QLF9d2qc-c018p" TargetMode="External"/><Relationship Id="rId210" Type="http://schemas.openxmlformats.org/officeDocument/2006/relationships/hyperlink" Target="https://www.youtube.com/watch?v=92k5uokmW9o&amp;list=PLA3GkZPtsafY62QhQ030p85HAer0pFDdr" TargetMode="External"/><Relationship Id="rId211" Type="http://schemas.openxmlformats.org/officeDocument/2006/relationships/hyperlink" Target="https://www.youtube.com/watch?v=vzveYBpesXI&amp;list=PLYQLxi4fXFVbcSYTxDRuGf9k721ue61fC" TargetMode="External"/><Relationship Id="rId212" Type="http://schemas.openxmlformats.org/officeDocument/2006/relationships/hyperlink" Target="https://www.youtube.com/watch?v=VjYRxcbmEso&amp;list=PL6W8uoQQ2c63f469AyV78np0rbxRFppkx" TargetMode="External"/><Relationship Id="rId213" Type="http://schemas.openxmlformats.org/officeDocument/2006/relationships/hyperlink" Target="https://www.youtube.com/watch?v=kzZ1TlGTWmY&amp;list=PLQEaRBV9gAFsR15tNo2QLF9d2qc-c018p" TargetMode="External"/><Relationship Id="rId214" Type="http://schemas.openxmlformats.org/officeDocument/2006/relationships/hyperlink" Target="https://www.youtube.com/watch?v=aBhA4FU7bb4&amp;list=PLYQLxi4fXFVbcSYTxDRuGf9k721ue61fC" TargetMode="External"/><Relationship Id="rId215" Type="http://schemas.openxmlformats.org/officeDocument/2006/relationships/hyperlink" Target="https://www.youtube.com/watch?v=SDsUL7VFyvg&amp;list=PL6W8uoQQ2c63f469AyV78np0rbxRFppkx" TargetMode="External"/><Relationship Id="rId216" Type="http://schemas.openxmlformats.org/officeDocument/2006/relationships/hyperlink" Target="https://www.youtube.com/watch?v=kzZ1TlGTWmY&amp;list=PLQEaRBV9gAFsR15tNo2QLF9d2qc-c018p" TargetMode="External"/><Relationship Id="rId217" Type="http://schemas.openxmlformats.org/officeDocument/2006/relationships/hyperlink" Target="https://www.youtube.com/watch?v=vVfZIWMEzMM&amp;list=PL6W8uoQQ2c63f469AyV78np0rbxRFppkx" TargetMode="External"/><Relationship Id="rId218" Type="http://schemas.openxmlformats.org/officeDocument/2006/relationships/hyperlink" Target="https://www.youtube.com/watch?v=zj0-JIc5oPw&amp;list=PLQEaRBV9gAFsR15tNo2QLF9d2qc-c018p" TargetMode="External"/><Relationship Id="rId219" Type="http://schemas.openxmlformats.org/officeDocument/2006/relationships/hyperlink" Target="https://www.youtube.com/watch?v=vVfZIWMEzMM&amp;list=PL6W8uoQQ2c63f469AyV78np0rbxRFppkx" TargetMode="External"/><Relationship Id="rId220" Type="http://schemas.openxmlformats.org/officeDocument/2006/relationships/hyperlink" Target="https://www.youtube.com/watch?v=uUo7AV02vJM&amp;list=PLQEaRBV9gAFsR15tNo2QLF9d2qc-c018p" TargetMode="External"/><Relationship Id="rId221" Type="http://schemas.openxmlformats.org/officeDocument/2006/relationships/hyperlink" Target="https://www.youtube.com/watch?v=uUo7AV02vJM&amp;list=PLQEaRBV9gAFsR15tNo2QLF9d2qc-c018p" TargetMode="External"/><Relationship Id="rId222" Type="http://schemas.openxmlformats.org/officeDocument/2006/relationships/hyperlink" Target="https://www.youtube.com/watch?v=gS6xBM31ABY&amp;list=PLYQLxi4fXFVbcSYTxDRuGf9k721ue61fC" TargetMode="External"/><Relationship Id="rId223" Type="http://schemas.openxmlformats.org/officeDocument/2006/relationships/hyperlink" Target="https://www.youtube.com/watch?v=YXRBBOjgrFU&amp;list=PL6W8uoQQ2c63f469AyV78np0rbxRFppkx" TargetMode="External"/><Relationship Id="rId224" Type="http://schemas.openxmlformats.org/officeDocument/2006/relationships/hyperlink" Target="https://www.youtube.com/watch?v=0V-w2BywAM0&amp;list=PLQEaRBV9gAFsR15tNo2QLF9d2qc-c018p" TargetMode="External"/><Relationship Id="rId225" Type="http://schemas.openxmlformats.org/officeDocument/2006/relationships/hyperlink" Target="https://www.youtube.com/watch?v=gS6xBM31ABY&amp;list=PLYQLxi4fXFVbcSYTxDRuGf9k721ue61fC" TargetMode="External"/><Relationship Id="rId226" Type="http://schemas.openxmlformats.org/officeDocument/2006/relationships/hyperlink" Target="https://www.youtube.com/watch?v=YXRBBOjgrFU&amp;list=PL6W8uoQQ2c63f469AyV78np0rbxRFppkx" TargetMode="External"/><Relationship Id="rId227" Type="http://schemas.openxmlformats.org/officeDocument/2006/relationships/hyperlink" Target="https://www.youtube.com/watch?v=0V-w2BywAM0&amp;list=PLQEaRBV9gAFsR15tNo2QLF9d2qc-c018p" TargetMode="External"/><Relationship Id="rId228" Type="http://schemas.openxmlformats.org/officeDocument/2006/relationships/hyperlink" Target="https://www.youtube.com/watch?v=vBZCXuJZe9M&amp;list=PLYQLxi4fXFVbcSYTxDRuGf9k721ue61fC" TargetMode="External"/><Relationship Id="rId229" Type="http://schemas.openxmlformats.org/officeDocument/2006/relationships/hyperlink" Target="https://www.youtube.com/watch?v=IsC0Ms2iFi8&amp;list=PLQEaRBV9gAFsR15tNo2QLF9d2qc-c018p" TargetMode="External"/><Relationship Id="rId230" Type="http://schemas.openxmlformats.org/officeDocument/2006/relationships/hyperlink" Target="https://www.youtube.com/watch?v=BETkRYeQa8w&amp;list=PLYQLxi4fXFVbcSYTxDRuGf9k721ue61fC" TargetMode="External"/><Relationship Id="rId231" Type="http://schemas.openxmlformats.org/officeDocument/2006/relationships/hyperlink" Target="https://www.youtube.com/watch?v=4ZxIOwi4r_g&amp;list=PL6W8uoQQ2c63f469AyV78np0rbxRFppkx" TargetMode="External"/><Relationship Id="rId232" Type="http://schemas.openxmlformats.org/officeDocument/2006/relationships/hyperlink" Target="https://www.youtube.com/watch?v=Q75kCaNa35Y&amp;list=PLQEaRBV9gAFsR15tNo2QLF9d2qc-c018p" TargetMode="External"/><Relationship Id="rId233" Type="http://schemas.openxmlformats.org/officeDocument/2006/relationships/hyperlink" Target="https://www.youtube.com/watch?v=92k5uokmW9o&amp;list=PLA3GkZPtsafY62QhQ030p85HAer0pFDdr" TargetMode="External"/><Relationship Id="rId234" Type="http://schemas.openxmlformats.org/officeDocument/2006/relationships/hyperlink" Target="https://www.youtube.com/watch?v=oS1QUUfp8WA&amp;list=PLYQLxi4fXFVbcSYTxDRuGf9k721ue61fC" TargetMode="External"/><Relationship Id="rId235" Type="http://schemas.openxmlformats.org/officeDocument/2006/relationships/hyperlink" Target="https://www.youtube.com/watch?v=nEno48RpDR4&amp;list=PL6W8uoQQ2c63f469AyV78np0rbxRFppkx" TargetMode="External"/><Relationship Id="rId236" Type="http://schemas.openxmlformats.org/officeDocument/2006/relationships/hyperlink" Target="https://www.youtube.com/watch?v=-jHyDEXHr_U&amp;list=PLQEaRBV9gAFsR15tNo2QLF9d2qc-c018p" TargetMode="External"/><Relationship Id="rId237" Type="http://schemas.openxmlformats.org/officeDocument/2006/relationships/hyperlink" Target="https://www.youtube.com/watch?v=nCo_JsP8PcI&amp;list=PLYQLxi4fXFVbcSYTxDRuGf9k721ue61fC" TargetMode="External"/><Relationship Id="rId238" Type="http://schemas.openxmlformats.org/officeDocument/2006/relationships/hyperlink" Target="https://www.youtube.com/watch?v=xqfOH5EA8xo&amp;list=PLQEaRBV9gAFsR15tNo2QLF9d2qc-c018p" TargetMode="External"/><Relationship Id="rId239" Type="http://schemas.openxmlformats.org/officeDocument/2006/relationships/hyperlink" Target="https://www.youtube.com/watch?v=zrtVQ1ev_0w&amp;list=PLQEaRBV9gAFsR15tNo2QLF9d2qc-c018p" TargetMode="External"/><Relationship Id="rId240" Type="http://schemas.openxmlformats.org/officeDocument/2006/relationships/hyperlink" Target="https://www.youtube.com/watch?v=e_S2yJKpTaw&amp;list=PL6W8uoQQ2c63f469AyV78np0rbxRFppkx" TargetMode="External"/><Relationship Id="rId241" Type="http://schemas.openxmlformats.org/officeDocument/2006/relationships/hyperlink" Target="https://www.youtube.com/watch?v=yfMWLZGEPwo&amp;list=PLQEaRBV9gAFsR15tNo2QLF9d2qc-c018p" TargetMode="External"/><Relationship Id="rId242" Type="http://schemas.openxmlformats.org/officeDocument/2006/relationships/hyperlink" Target="https://www.youtube.com/watch?v=VJgCjLuU4e8&amp;list=PLqleLpAMfxGAdqZeY_4uVQOPCnAjhH-eT" TargetMode="External"/><Relationship Id="rId243" Type="http://schemas.openxmlformats.org/officeDocument/2006/relationships/hyperlink" Target="https://www.youtube.com/watch?v=pqEqj58bnxc&amp;list=PL6W8uoQQ2c63f469AyV78np0rbxRFppkx" TargetMode="External"/><Relationship Id="rId244" Type="http://schemas.openxmlformats.org/officeDocument/2006/relationships/hyperlink" Target="https://www.youtube.com/watch?v=4aYvLz4E1Ts&amp;list=PLA3GkZPtsafY62QhQ030p85HAer0pFDdr" TargetMode="External"/><Relationship Id="rId245" Type="http://schemas.openxmlformats.org/officeDocument/2006/relationships/hyperlink" Target="https://www.youtube.com/watch?v=N-Oi16BnDa0&amp;list=PLYQLxi4fXFVbcSYTxDRuGf9k721ue61fC" TargetMode="External"/><Relationship Id="rId246" Type="http://schemas.openxmlformats.org/officeDocument/2006/relationships/hyperlink" Target="https://www.youtube.com/watch?v=TpYIcJN9EV8&amp;list=PL6W8uoQQ2c63f469AyV78np0rbxRFppkx" TargetMode="External"/><Relationship Id="rId247" Type="http://schemas.openxmlformats.org/officeDocument/2006/relationships/hyperlink" Target="https://www.youtube.com/watch?v=fyAW0W526RM&amp;list=PLQEaRBV9gAFsR15tNo2QLF9d2qc-c018p" TargetMode="External"/><Relationship Id="rId248" Type="http://schemas.openxmlformats.org/officeDocument/2006/relationships/hyperlink" Target="https://www.youtube.com/watch?v=FWaz24t-qfU&amp;list=PLqleLpAMfxGAdqZeY_4uVQOPCnAjhH-eT" TargetMode="External"/><Relationship Id="rId249" Type="http://schemas.openxmlformats.org/officeDocument/2006/relationships/hyperlink" Target="https://www.youtube.com/watch?v=cdsFwGDVzpg&amp;list=PL6W8uoQQ2c63f469AyV78np0rbxRFppkx" TargetMode="External"/><Relationship Id="rId250" Type="http://schemas.openxmlformats.org/officeDocument/2006/relationships/hyperlink" Target="https://www.youtube.com/watch?v=ZPxJby0GeOQ&amp;list=PLQEaRBV9gAFsR15tNo2QLF9d2qc-c018p" TargetMode="External"/><Relationship Id="rId251" Type="http://schemas.openxmlformats.org/officeDocument/2006/relationships/hyperlink" Target="https://www.youtube.com/watch?v=elEq4VzYRwM&amp;list=PLqleLpAMfxGAdqZeY_4uVQOPCnAjhH-eT" TargetMode="External"/><Relationship Id="rId252" Type="http://schemas.openxmlformats.org/officeDocument/2006/relationships/hyperlink" Target="https://www.youtube.com/watch?v=TpYIcJN9EV8&amp;list=PL6W8uoQQ2c63f469AyV78np0rbxRFppkx" TargetMode="External"/><Relationship Id="rId253" Type="http://schemas.openxmlformats.org/officeDocument/2006/relationships/hyperlink" Target="https://www.youtube.com/watch?v=lrrdN_c0HQ4&amp;list=PLQEaRBV9gAFsR15tNo2QLF9d2qc-c018p" TargetMode="External"/><Relationship Id="rId254" Type="http://schemas.openxmlformats.org/officeDocument/2006/relationships/hyperlink" Target="https://www.youtube.com/watch?v=NVMlz9rZ6cE&amp;list=PLqleLpAMfxGAdqZeY_4uVQOPCnAjhH-eT" TargetMode="External"/><Relationship Id="rId255" Type="http://schemas.openxmlformats.org/officeDocument/2006/relationships/hyperlink" Target="https://www.youtube.com/watch?v=4aYvLz4E1Ts&amp;list=PLA3GkZPtsafY62QhQ030p85HAer0pFDdr" TargetMode="External"/><Relationship Id="rId256" Type="http://schemas.openxmlformats.org/officeDocument/2006/relationships/hyperlink" Target="https://www.youtube.com/watch?v=yNHfBgiuVmQ&amp;list=PLYQLxi4fXFVbcSYTxDRuGf9k721ue61fC" TargetMode="External"/><Relationship Id="rId257" Type="http://schemas.openxmlformats.org/officeDocument/2006/relationships/hyperlink" Target="https://www.youtube.com/watch?v=k9sURAu0xT8&amp;list=PLQEaRBV9gAFsR15tNo2QLF9d2qc-c018p" TargetMode="External"/><Relationship Id="rId258" Type="http://schemas.openxmlformats.org/officeDocument/2006/relationships/hyperlink" Target="https://www.youtube.com/watch?v=Qf1DuRMPbOA&amp;list=PLqleLpAMfxGAdqZeY_4uVQOPCnAjhH-eT" TargetMode="External"/><Relationship Id="rId259" Type="http://schemas.openxmlformats.org/officeDocument/2006/relationships/hyperlink" Target="https://www.youtube.com/watch?v=AYiE7_loIsE&amp;list=PL6W8uoQQ2c63f469AyV78np0rbxRFppkx" TargetMode="External"/><Relationship Id="rId260" Type="http://schemas.openxmlformats.org/officeDocument/2006/relationships/hyperlink" Target="https://www.youtube.com/watch?v=EZS19NLnsvc&amp;list=PLQEaRBV9gAFsR15tNo2QLF9d2qc-c018p" TargetMode="External"/><Relationship Id="rId261" Type="http://schemas.openxmlformats.org/officeDocument/2006/relationships/hyperlink" Target="https://www.youtube.com/watch?v=WDn_Bax0UFo&amp;list=PLA3GkZPtsafY62QhQ030p85HAer0pFDdr" TargetMode="External"/><Relationship Id="rId262" Type="http://schemas.openxmlformats.org/officeDocument/2006/relationships/hyperlink" Target="https://www.youtube.com/watch?v=JGb4qNEBW6Q&amp;list=PL6W8uoQQ2c63f469AyV78np0rbxRFppkx" TargetMode="External"/><Relationship Id="rId263" Type="http://schemas.openxmlformats.org/officeDocument/2006/relationships/hyperlink" Target="https://www.youtube.com/watch?v=ujF2gNsCfBE&amp;list=PLQEaRBV9gAFsR15tNo2QLF9d2qc-c018p" TargetMode="External"/><Relationship Id="rId264" Type="http://schemas.openxmlformats.org/officeDocument/2006/relationships/hyperlink" Target="https://www.youtube.com/watch?v=4aYvLz4E1Ts&amp;list=PLA3GkZPtsafY62QhQ030p85HAer0pFDdr" TargetMode="External"/><Relationship Id="rId265" Type="http://schemas.openxmlformats.org/officeDocument/2006/relationships/hyperlink" Target="https://www.youtube.com/watch?v=lrrdN_c0HQ4&amp;list=PLQEaRBV9gAFsR15tNo2QLF9d2qc-c018p" TargetMode="External"/><Relationship Id="rId266" Type="http://schemas.openxmlformats.org/officeDocument/2006/relationships/hyperlink" Target="https://www.youtube.com/watch?v=4aYvLz4E1Ts&amp;list=PLA3GkZPtsafY62QhQ030p85HAer0pFDdr" TargetMode="External"/><Relationship Id="rId267" Type="http://schemas.openxmlformats.org/officeDocument/2006/relationships/hyperlink" Target="https://www.youtube.com/watch?v=DPob5NLzKFI&amp;list=PL6W8uoQQ2c63f469AyV78np0rbxRFppkx" TargetMode="External"/><Relationship Id="rId268" Type="http://schemas.openxmlformats.org/officeDocument/2006/relationships/hyperlink" Target="https://www.youtube.com/watch?v=JW6-TCU0iS4&amp;list=PLQEaRBV9gAFsR15tNo2QLF9d2qc-c018p" TargetMode="External"/><Relationship Id="rId269" Type="http://schemas.openxmlformats.org/officeDocument/2006/relationships/hyperlink" Target="https://www.youtube.com/watch?v=JGb4qNEBW6Q&amp;list=PL6W8uoQQ2c63f469AyV78np0rbxRFppkx" TargetMode="External"/><Relationship Id="rId270" Type="http://schemas.openxmlformats.org/officeDocument/2006/relationships/hyperlink" Target="https://www.youtube.com/watch?v=ujF2gNsCfBE&amp;list=PLQEaRBV9gAFsR15tNo2QLF9d2qc-c018p" TargetMode="External"/><Relationship Id="rId271" Type="http://schemas.openxmlformats.org/officeDocument/2006/relationships/hyperlink" Target="https://www.youtube.com/watch?v=4aYvLz4E1Ts&amp;list=PLA3GkZPtsafY62QhQ030p85HAer0pFDdr" TargetMode="External"/><Relationship Id="rId272" Type="http://schemas.openxmlformats.org/officeDocument/2006/relationships/hyperlink" Target="https://www.youtube.com/watch?v=DPob5NLzKFI&amp;list=PL6W8uoQQ2c63f469AyV78np0rbxRFppkx" TargetMode="External"/><Relationship Id="rId273" Type="http://schemas.openxmlformats.org/officeDocument/2006/relationships/hyperlink" Target="https://www.youtube.com/watch?v=JW6-TCU0iS4&amp;list=PLQEaRBV9gAFsR15tNo2QLF9d2qc-c018p" TargetMode="External"/><Relationship Id="rId274" Type="http://schemas.openxmlformats.org/officeDocument/2006/relationships/hyperlink" Target="https://www.youtube.com/watch?v=pXVEEfYMwws&amp;list=PL6W8uoQQ2c63f469AyV78np0rbxRFppkx" TargetMode="External"/><Relationship Id="rId275" Type="http://schemas.openxmlformats.org/officeDocument/2006/relationships/hyperlink" Target="https://www.youtube.com/watch?v=FGN225TiXaE&amp;list=PLQEaRBV9gAFsR15tNo2QLF9d2qc-c018p" TargetMode="External"/><Relationship Id="rId276" Type="http://schemas.openxmlformats.org/officeDocument/2006/relationships/hyperlink" Target="https://www.youtube.com/watch?v=4aYvLz4E1Ts&amp;list=PLA3GkZPtsafY62QhQ030p85HAer0pFDdr" TargetMode="External"/><Relationship Id="rId277" Type="http://schemas.openxmlformats.org/officeDocument/2006/relationships/hyperlink" Target="https://www.youtube.com/watch?v=ZUWs2U71vvk&amp;list=PL6W8uoQQ2c63f469AyV78np0rbxRFppkx" TargetMode="External"/><Relationship Id="rId278" Type="http://schemas.openxmlformats.org/officeDocument/2006/relationships/hyperlink" Target="https://www.youtube.com/watch?v=VPtaTUSaBOM&amp;list=PLQEaRBV9gAFsR15tNo2QLF9d2qc-c018p" TargetMode="External"/><Relationship Id="rId279" Type="http://schemas.openxmlformats.org/officeDocument/2006/relationships/hyperlink" Target="https://www.youtube.com/watch?v=SFwCiYwr3yQ&amp;list=PL6W8uoQQ2c63f469AyV78np0rbxRFppkx" TargetMode="External"/><Relationship Id="rId280" Type="http://schemas.openxmlformats.org/officeDocument/2006/relationships/hyperlink" Target="https://www.youtube.com/watch?v=VPtaTUSaBOM&amp;list=PLQEaRBV9gAFsR15tNo2QLF9d2qc-c018p" TargetMode="External"/><Relationship Id="rId281" Type="http://schemas.openxmlformats.org/officeDocument/2006/relationships/hyperlink" Target="https://www.youtube.com/watch?v=4aYvLz4E1Ts&amp;list=PLA3GkZPtsafY62QhQ030p85HAer0pFDdr" TargetMode="External"/><Relationship Id="rId282" Type="http://schemas.openxmlformats.org/officeDocument/2006/relationships/hyperlink" Target="https://www.youtube.com/watch?v=SFwCiYwr3yQ&amp;list=PL6W8uoQQ2c63f469AyV78np0rbxRFppkx" TargetMode="External"/><Relationship Id="rId283" Type="http://schemas.openxmlformats.org/officeDocument/2006/relationships/hyperlink" Target="https://www.youtube.com/watch?v=FGN225TiXaE&amp;list=PLQEaRBV9gAFsR15tNo2QLF9d2qc-c018p" TargetMode="External"/><Relationship Id="rId284" Type="http://schemas.openxmlformats.org/officeDocument/2006/relationships/hyperlink" Target="https://www.youtube.com/watch?v=VlfVyz-QG60&amp;list=PL6W8uoQQ2c63f469AyV78np0rbxRFppkx" TargetMode="External"/><Relationship Id="rId285" Type="http://schemas.openxmlformats.org/officeDocument/2006/relationships/hyperlink" Target="https://www.youtube.com/watch?v=FGN225TiXaE&amp;list=PLQEaRBV9gAFsR15tNo2QLF9d2qc-c018p" TargetMode="External"/><Relationship Id="rId286" Type="http://schemas.openxmlformats.org/officeDocument/2006/relationships/hyperlink" Target="https://www.youtube.com/watch?v=pXVEEfYMwws&amp;list=PL6W8uoQQ2c63f469AyV78np0rbxRFppkx" TargetMode="External"/><Relationship Id="rId287" Type="http://schemas.openxmlformats.org/officeDocument/2006/relationships/hyperlink" Target="https://www.youtube.com/watch?v=FGN225TiXaE&amp;list=PLQEaRBV9gAFsR15tNo2QLF9d2qc-c018p" TargetMode="External"/><Relationship Id="rId288" Type="http://schemas.openxmlformats.org/officeDocument/2006/relationships/hyperlink" Target="https://www.youtube.com/watch?v=P4UAoYiaHg4&amp;list=PL6W8uoQQ2c63f469AyV78np0rbxRFppkx" TargetMode="External"/><Relationship Id="rId289" Type="http://schemas.openxmlformats.org/officeDocument/2006/relationships/hyperlink" Target="https://www.youtube.com/watch?v=D_RV4GtAZg0&amp;list=PLYQLxi4fXFVbcSYTxDRuGf9k721ue61fC" TargetMode="External"/><Relationship Id="rId290" Type="http://schemas.openxmlformats.org/officeDocument/2006/relationships/hyperlink" Target="https://www.youtube.com/watch?v=H5WYze-FL50&amp;list=PL6W8uoQQ2c63f469AyV78np0rbxRFppkx" TargetMode="External"/><Relationship Id="rId291" Type="http://schemas.openxmlformats.org/officeDocument/2006/relationships/hyperlink" Target="https://www.youtube.com/watch?v=DVE6wfYfED4&amp;list=PLqleLpAMfxGAdqZeY_4uVQOPCnAjhH-eT" TargetMode="External"/><Relationship Id="rId292" Type="http://schemas.openxmlformats.org/officeDocument/2006/relationships/hyperlink" Target="https://www.youtube.com/watch?v=vz6vSZRuS2M&amp;list=PL6W8uoQQ2c63f469AyV78np0rbxRFppkx" TargetMode="External"/><Relationship Id="rId293" Type="http://schemas.openxmlformats.org/officeDocument/2006/relationships/hyperlink" Target="https://www.youtube.com/watch?v=kjETbH63Pco&amp;list=PLQEaRBV9gAFsR15tNo2QLF9d2qc-c018p" TargetMode="External"/><Relationship Id="rId294" Type="http://schemas.openxmlformats.org/officeDocument/2006/relationships/hyperlink" Target="https://www.youtube.com/watch?v=vz6vSZRuS2M&amp;list=PL6W8uoQQ2c63f469AyV78np0rbxRFppkx" TargetMode="External"/><Relationship Id="rId295" Type="http://schemas.openxmlformats.org/officeDocument/2006/relationships/hyperlink" Target="https://www.youtube.com/watch?v=b2HSqC0RGsM&amp;list=PLQEaRBV9gAFsR15tNo2QLF9d2qc-c018p" TargetMode="External"/><Relationship Id="rId296" Type="http://schemas.openxmlformats.org/officeDocument/2006/relationships/hyperlink" Target="https://www.youtube.com/watch?v=0vvCgTM-tLI&amp;list=PLA3GkZPtsafY62QhQ030p85HAer0pFDdr" TargetMode="External"/><Relationship Id="rId297" Type="http://schemas.openxmlformats.org/officeDocument/2006/relationships/hyperlink" Target="https://www.youtube.com/watch?v=0vvCgTM-tLI&amp;list=PLA3GkZPtsafY62QhQ030p85HAer0pFDdr" TargetMode="External"/><Relationship Id="rId298" Type="http://schemas.openxmlformats.org/officeDocument/2006/relationships/hyperlink" Target="https://www.youtube.com/watch?v=z04mr_i2SO8&amp;list=PL6W8uoQQ2c63f469AyV78np0rbxRFppkx" TargetMode="External"/><Relationship Id="rId299" Type="http://schemas.openxmlformats.org/officeDocument/2006/relationships/hyperlink" Target="https://www.youtube.com/watch?v=blb1guXuVxA&amp;list=PL6W8uoQQ2c63f469AyV78np0rbxRFppkx" TargetMode="External"/><Relationship Id="rId300" Type="http://schemas.openxmlformats.org/officeDocument/2006/relationships/hyperlink" Target="https://www.youtube.com/watch?v=KmX4uHi-KY0&amp;list=PL6W8uoQQ2c63f469AyV78np0rbxRFppkx" TargetMode="External"/><Relationship Id="rId301" Type="http://schemas.openxmlformats.org/officeDocument/2006/relationships/hyperlink" Target="https://www.youtube.com/watch?v=xYky-RDlnpY&amp;list=PL6W8uoQQ2c63f469AyV78np0rbxRFppkx" TargetMode="External"/><Relationship Id="rId302" Type="http://schemas.openxmlformats.org/officeDocument/2006/relationships/hyperlink" Target="https://www.youtube.com/watch?v=OSbOQLictxM&amp;list=PLYQLxi4fXFVbcSYTxDRuGf9k721ue61fC" TargetMode="External"/><Relationship Id="rId303" Type="http://schemas.openxmlformats.org/officeDocument/2006/relationships/hyperlink" Target="https://www.youtube.com/watch?v=W7U4Uu7S1hc&amp;list=PLYQLxi4fXFVbcSYTxDRuGf9k721ue61fC" TargetMode="External"/><Relationship Id="rId304" Type="http://schemas.openxmlformats.org/officeDocument/2006/relationships/hyperlink" Target="https://www.youtube.com/watch?v=L-IWdaNckfY&amp;list=PLYQLxi4fXFVbcSYTxDRuGf9k721ue61fC" TargetMode="External"/><Relationship Id="rId305" Type="http://schemas.openxmlformats.org/officeDocument/2006/relationships/hyperlink" Target="https://www.youtube.com/watch?v=fGqb6cmA22A&amp;list=PL6W8uoQQ2c63f469AyV78np0rbxRFppkx" TargetMode="External"/><Relationship Id="rId306" Type="http://schemas.openxmlformats.org/officeDocument/2006/relationships/hyperlink" Target="https://www.youtube.com/watch?v=wbF5UVQ-qDE&amp;list=PLYQLxi4fXFVbcSYTxDRuGf9k721ue61fC" TargetMode="External"/><Relationship Id="rId307" Type="http://schemas.openxmlformats.org/officeDocument/2006/relationships/hyperlink" Target="https://www.youtube.com/watch?v=-r95HaLrif0&amp;list=PLqleLpAMfxGAdqZeY_4uVQOPCnAjhH-eT" TargetMode="External"/><Relationship Id="rId308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oveyab6lO_E&amp;list=PLA3GkZPtsafY62QhQ030p85HAer0pFDdr" TargetMode="External"/><Relationship Id="rId2" Type="http://schemas.openxmlformats.org/officeDocument/2006/relationships/hyperlink" Target="https://www.youtube.com/watch?v=0vvCgTM-tLI&amp;list=PLA3GkZPtsafY62QhQ030p85HAer0pFDdr" TargetMode="External"/><Relationship Id="rId3" Type="http://schemas.openxmlformats.org/officeDocument/2006/relationships/hyperlink" Target="https://www.youtube.com/watch?v=oJ9OdOgdTIg&amp;list=PLA3GkZPtsafY62QhQ030p85HAer0pFDdr" TargetMode="External"/><Relationship Id="rId4" Type="http://schemas.openxmlformats.org/officeDocument/2006/relationships/hyperlink" Target="https://www.youtube.com/watch?v=n11XtXnHUgw&amp;list=PLA3GkZPtsafY62QhQ030p85HAer0pFDdr" TargetMode="External"/><Relationship Id="rId5" Type="http://schemas.openxmlformats.org/officeDocument/2006/relationships/hyperlink" Target="https://www.youtube.com/watch?v=tdrwQMWSXdE&amp;list=PLA3GkZPtsafY62QhQ030p85HAer0pFDdr" TargetMode="External"/><Relationship Id="rId6" Type="http://schemas.openxmlformats.org/officeDocument/2006/relationships/hyperlink" Target="https://www.youtube.com/watch?v=EsLck9lkOPE&amp;list=PLA3GkZPtsafY62QhQ030p85HAer0pFDdr" TargetMode="External"/><Relationship Id="rId7" Type="http://schemas.openxmlformats.org/officeDocument/2006/relationships/hyperlink" Target="https://www.youtube.com/watch?v=tdmoJo1AEEE&amp;list=PLA3GkZPtsafY62QhQ030p85HAer0pFDdr" TargetMode="External"/><Relationship Id="rId8" Type="http://schemas.openxmlformats.org/officeDocument/2006/relationships/hyperlink" Target="https://www.youtube.com/watch?v=whb3BeqZc0M&amp;list=PLA3GkZPtsafY62QhQ030p85HAer0pFDdr" TargetMode="External"/><Relationship Id="rId9" Type="http://schemas.openxmlformats.org/officeDocument/2006/relationships/hyperlink" Target="https://www.youtube.com/watch?v=kI7zWYFcYDo&amp;list=PLA3GkZPtsafY62QhQ030p85HAer0pFDdr" TargetMode="External"/><Relationship Id="rId10" Type="http://schemas.openxmlformats.org/officeDocument/2006/relationships/hyperlink" Target="https://www.youtube.com/watch?v=0O_iH-vDuZ0&amp;list=PLA3GkZPtsafY62QhQ030p85HAer0pFDdr" TargetMode="External"/><Relationship Id="rId11" Type="http://schemas.openxmlformats.org/officeDocument/2006/relationships/hyperlink" Target="https://www.youtube.com/watch?v=4MJ0YHNzT1w&amp;list=PLA3GkZPtsafY62QhQ030p85HAer0pFDdr" TargetMode="External"/><Relationship Id="rId12" Type="http://schemas.openxmlformats.org/officeDocument/2006/relationships/hyperlink" Target="https://www.youtube.com/watch?v=cwPhMqH-IsE&amp;list=PLA3GkZPtsafY62QhQ030p85HAer0pFDdr" TargetMode="External"/><Relationship Id="rId13" Type="http://schemas.openxmlformats.org/officeDocument/2006/relationships/hyperlink" Target="https://www.youtube.com/watch?v=jtgAtJ3xj6w&amp;list=PLA3GkZPtsafY62QhQ030p85HAer0pFDdr" TargetMode="External"/><Relationship Id="rId14" Type="http://schemas.openxmlformats.org/officeDocument/2006/relationships/hyperlink" Target="https://www.youtube.com/watch?v=UPjMnMkwKOQ&amp;list=PLA3GkZPtsafY62QhQ030p85HAer0pFDdr" TargetMode="External"/><Relationship Id="rId15" Type="http://schemas.openxmlformats.org/officeDocument/2006/relationships/hyperlink" Target="https://www.youtube.com/watch?v=LqPl23MTK5o&amp;list=PLA3GkZPtsafY62QhQ030p85HAer0pFDdr" TargetMode="External"/><Relationship Id="rId16" Type="http://schemas.openxmlformats.org/officeDocument/2006/relationships/hyperlink" Target="https://www.youtube.com/watch?v=cNktHZVMJLY&amp;list=PLA3GkZPtsafY62QhQ030p85HAer0pFDdr" TargetMode="External"/><Relationship Id="rId17" Type="http://schemas.openxmlformats.org/officeDocument/2006/relationships/hyperlink" Target="https://www.youtube.com/watch?v=RC7jznvizAk&amp;list=PLA3GkZPtsafY62QhQ030p85HAer0pFDdr" TargetMode="External"/><Relationship Id="rId18" Type="http://schemas.openxmlformats.org/officeDocument/2006/relationships/hyperlink" Target="https://www.youtube.com/watch?v=RMqNAiFHkZA&amp;list=PLA3GkZPtsafY62QhQ030p85HAer0pFDdr" TargetMode="External"/><Relationship Id="rId19" Type="http://schemas.openxmlformats.org/officeDocument/2006/relationships/hyperlink" Target="https://www.youtube.com/watch?v=ifJ0eCrEC44&amp;list=PLA3GkZPtsafY62QhQ030p85HAer0pFDdr" TargetMode="External"/><Relationship Id="rId20" Type="http://schemas.openxmlformats.org/officeDocument/2006/relationships/hyperlink" Target="https://www.youtube.com/watch?v=uCAaTvO7dn0&amp;list=PLA3GkZPtsafY62QhQ030p85HAer0pFDdr" TargetMode="External"/><Relationship Id="rId21" Type="http://schemas.openxmlformats.org/officeDocument/2006/relationships/hyperlink" Target="https://www.youtube.com/watch?v=CGHL1zuD5fY&amp;list=PLA3GkZPtsafY62QhQ030p85HAer0pFDdr" TargetMode="External"/><Relationship Id="rId22" Type="http://schemas.openxmlformats.org/officeDocument/2006/relationships/hyperlink" Target="https://www.youtube.com/watch?v=TRlz0X5hD7E&amp;list=PLA3GkZPtsafY62QhQ030p85HAer0pFDdr" TargetMode="External"/><Relationship Id="rId23" Type="http://schemas.openxmlformats.org/officeDocument/2006/relationships/hyperlink" Target="https://www.youtube.com/watch?v=W0Qv4UkCo6k&amp;list=PLA3GkZPtsafY62QhQ030p85HAer0pFDdr" TargetMode="External"/><Relationship Id="rId24" Type="http://schemas.openxmlformats.org/officeDocument/2006/relationships/hyperlink" Target="https://www.youtube.com/watch?v=ZlUuQIw-a9U&amp;list=PLA3GkZPtsafY62QhQ030p85HAer0pFDdr" TargetMode="External"/><Relationship Id="rId25" Type="http://schemas.openxmlformats.org/officeDocument/2006/relationships/hyperlink" Target="https://www.youtube.com/watch?v=qfMOfbhVpB0&amp;list=PLA3GkZPtsafY62QhQ030p85HAer0pFDdr" TargetMode="External"/><Relationship Id="rId26" Type="http://schemas.openxmlformats.org/officeDocument/2006/relationships/hyperlink" Target="https://www.youtube.com/watch?v=CYBDq23Uzt0&amp;list=PLA3GkZPtsafY62QhQ030p85HAer0pFDdr" TargetMode="External"/><Relationship Id="rId27" Type="http://schemas.openxmlformats.org/officeDocument/2006/relationships/hyperlink" Target="https://www.youtube.com/watch?v=PpxzFint1IA&amp;list=PLA3GkZPtsafY62QhQ030p85HAer0pFDdr" TargetMode="External"/><Relationship Id="rId28" Type="http://schemas.openxmlformats.org/officeDocument/2006/relationships/hyperlink" Target="https://www.youtube.com/watch?v=IB87CmoyMeY&amp;list=PLA3GkZPtsafY62QhQ030p85HAer0pFDdr" TargetMode="External"/><Relationship Id="rId29" Type="http://schemas.openxmlformats.org/officeDocument/2006/relationships/hyperlink" Target="https://www.youtube.com/watch?v=IZu5rZTN7PI&amp;list=PLA3GkZPtsafY62QhQ030p85HAer0pFDdr" TargetMode="External"/><Relationship Id="rId30" Type="http://schemas.openxmlformats.org/officeDocument/2006/relationships/hyperlink" Target="https://www.youtube.com/watch?v=suBZpy8Z2VY&amp;list=PLA3GkZPtsafY62QhQ030p85HAer0pFDdr" TargetMode="External"/><Relationship Id="rId31" Type="http://schemas.openxmlformats.org/officeDocument/2006/relationships/hyperlink" Target="https://www.youtube.com/watch?v=q_mEmB6YW_A&amp;list=PLA3GkZPtsafY62QhQ030p85HAer0pFDdr" TargetMode="External"/><Relationship Id="rId32" Type="http://schemas.openxmlformats.org/officeDocument/2006/relationships/hyperlink" Target="https://www.youtube.com/watch?v=rAlplrI8Y3Q&amp;list=PLA3GkZPtsafY62QhQ030p85HAer0pFDdr" TargetMode="External"/><Relationship Id="rId33" Type="http://schemas.openxmlformats.org/officeDocument/2006/relationships/hyperlink" Target="https://www.youtube.com/watch?v=4aYvLz4E1Ts&amp;list=PLA3GkZPtsafY62QhQ030p85HAer0pFDdr" TargetMode="External"/><Relationship Id="rId34" Type="http://schemas.openxmlformats.org/officeDocument/2006/relationships/hyperlink" Target="https://www.youtube.com/watch?v=WDn_Bax0UFo&amp;list=PLA3GkZPtsafY62QhQ030p85HAer0pFDdr" TargetMode="External"/><Relationship Id="rId35" Type="http://schemas.openxmlformats.org/officeDocument/2006/relationships/hyperlink" Target="https://www.youtube.com/watch?v=UypoeUL4T_U&amp;list=PLA3GkZPtsafY62QhQ030p85HAer0pFDdr" TargetMode="External"/><Relationship Id="rId36" Type="http://schemas.openxmlformats.org/officeDocument/2006/relationships/hyperlink" Target="https://www.youtube.com/watch?v=92k5uokmW9o&amp;list=PLA3GkZPtsafY62QhQ030p85HAer0pFDdr" TargetMode="External"/><Relationship Id="rId37" Type="http://schemas.openxmlformats.org/officeDocument/2006/relationships/hyperlink" Target="https://www.youtube.com/watch?v=HvpUTLSt5XM&amp;list=PLA3GkZPtsafY62QhQ030p85HAer0pFDdr" TargetMode="External"/><Relationship Id="rId38" Type="http://schemas.openxmlformats.org/officeDocument/2006/relationships/hyperlink" Target="https://www.youtube.com/watch?v=WPwaj8hEKH0&amp;list=PLYQLxi4fXFVbcSYTxDRuGf9k721ue61fC" TargetMode="External"/><Relationship Id="rId39" Type="http://schemas.openxmlformats.org/officeDocument/2006/relationships/hyperlink" Target="https://www.youtube.com/watch?v=6bof5HbvmOo&amp;list=PLYQLxi4fXFVbcSYTxDRuGf9k721ue61fC" TargetMode="External"/><Relationship Id="rId40" Type="http://schemas.openxmlformats.org/officeDocument/2006/relationships/hyperlink" Target="https://www.youtube.com/watch?v=OSbOQLictxM&amp;list=PLYQLxi4fXFVbcSYTxDRuGf9k721ue61fC" TargetMode="External"/><Relationship Id="rId41" Type="http://schemas.openxmlformats.org/officeDocument/2006/relationships/hyperlink" Target="https://www.youtube.com/watch?v=8vhFCfHy6uc&amp;list=PLYQLxi4fXFVbcSYTxDRuGf9k721ue61fC" TargetMode="External"/><Relationship Id="rId42" Type="http://schemas.openxmlformats.org/officeDocument/2006/relationships/hyperlink" Target="https://www.youtube.com/watch?v=466DQOOl14M&amp;list=PLYQLxi4fXFVbcSYTxDRuGf9k721ue61fC" TargetMode="External"/><Relationship Id="rId43" Type="http://schemas.openxmlformats.org/officeDocument/2006/relationships/hyperlink" Target="https://www.youtube.com/watch?v=R1I7am-KVv0&amp;list=PLYQLxi4fXFVbcSYTxDRuGf9k721ue61fC" TargetMode="External"/><Relationship Id="rId44" Type="http://schemas.openxmlformats.org/officeDocument/2006/relationships/hyperlink" Target="https://www.youtube.com/watch?v=tkWUF7RJT7o&amp;list=PLYQLxi4fXFVbcSYTxDRuGf9k721ue61fC" TargetMode="External"/><Relationship Id="rId45" Type="http://schemas.openxmlformats.org/officeDocument/2006/relationships/hyperlink" Target="https://www.youtube.com/watch?v=_4jHK0lW1Dw&amp;list=PLYQLxi4fXFVbcSYTxDRuGf9k721ue61fC" TargetMode="External"/><Relationship Id="rId46" Type="http://schemas.openxmlformats.org/officeDocument/2006/relationships/hyperlink" Target="https://www.youtube.com/watch?v=16uMi7dvrZk&amp;list=PLYQLxi4fXFVbcSYTxDRuGf9k721ue61fC" TargetMode="External"/><Relationship Id="rId47" Type="http://schemas.openxmlformats.org/officeDocument/2006/relationships/hyperlink" Target="https://www.youtube.com/watch?v=Pj9UehhmN28&amp;list=PLYQLxi4fXFVbcSYTxDRuGf9k721ue61fC" TargetMode="External"/><Relationship Id="rId48" Type="http://schemas.openxmlformats.org/officeDocument/2006/relationships/hyperlink" Target="https://www.youtube.com/watch?v=Te1ib9AAHT0&amp;list=PLYQLxi4fXFVbcSYTxDRuGf9k721ue61fC" TargetMode="External"/><Relationship Id="rId49" Type="http://schemas.openxmlformats.org/officeDocument/2006/relationships/hyperlink" Target="https://www.youtube.com/watch?v=cZ0mwI_ZSYw&amp;list=PLYQLxi4fXFVbcSYTxDRuGf9k721ue61fC" TargetMode="External"/><Relationship Id="rId50" Type="http://schemas.openxmlformats.org/officeDocument/2006/relationships/hyperlink" Target="https://www.youtube.com/watch?v=8743UHjHilc&amp;list=PLYQLxi4fXFVbcSYTxDRuGf9k721ue61fC" TargetMode="External"/><Relationship Id="rId51" Type="http://schemas.openxmlformats.org/officeDocument/2006/relationships/hyperlink" Target="https://www.youtube.com/watch?v=FCkXu_g_tnc&amp;list=PLYQLxi4fXFVbcSYTxDRuGf9k721ue61fC" TargetMode="External"/><Relationship Id="rId52" Type="http://schemas.openxmlformats.org/officeDocument/2006/relationships/hyperlink" Target="https://www.youtube.com/watch?v=UwaSDpQAlK4&amp;list=PLYQLxi4fXFVbcSYTxDRuGf9k721ue61fC" TargetMode="External"/><Relationship Id="rId53" Type="http://schemas.openxmlformats.org/officeDocument/2006/relationships/hyperlink" Target="https://www.youtube.com/watch?v=9PXzJrfzRhQ&amp;list=PLYQLxi4fXFVbcSYTxDRuGf9k721ue61fC" TargetMode="External"/><Relationship Id="rId54" Type="http://schemas.openxmlformats.org/officeDocument/2006/relationships/hyperlink" Target="https://www.youtube.com/watch?v=DWhvjMB_RLQ&amp;list=PLYQLxi4fXFVbcSYTxDRuGf9k721ue61fC" TargetMode="External"/><Relationship Id="rId55" Type="http://schemas.openxmlformats.org/officeDocument/2006/relationships/hyperlink" Target="https://www.youtube.com/watch?v=JrrV921Qyow&amp;list=PLYQLxi4fXFVbcSYTxDRuGf9k721ue61fC" TargetMode="External"/><Relationship Id="rId56" Type="http://schemas.openxmlformats.org/officeDocument/2006/relationships/hyperlink" Target="https://www.youtube.com/watch?v=BVul8M7LGfs&amp;list=PLYQLxi4fXFVbcSYTxDRuGf9k721ue61fC" TargetMode="External"/><Relationship Id="rId57" Type="http://schemas.openxmlformats.org/officeDocument/2006/relationships/hyperlink" Target="https://www.youtube.com/watch?v=L-IWdaNckfY&amp;list=PLYQLxi4fXFVbcSYTxDRuGf9k721ue61fC" TargetMode="External"/><Relationship Id="rId58" Type="http://schemas.openxmlformats.org/officeDocument/2006/relationships/hyperlink" Target="https://www.youtube.com/watch?v=S_zLtcxxyto&amp;list=PLYQLxi4fXFVbcSYTxDRuGf9k721ue61fC" TargetMode="External"/><Relationship Id="rId59" Type="http://schemas.openxmlformats.org/officeDocument/2006/relationships/hyperlink" Target="https://www.youtube.com/watch?v=q4kg0a_SI9o&amp;list=PLYQLxi4fXFVbcSYTxDRuGf9k721ue61fC" TargetMode="External"/><Relationship Id="rId60" Type="http://schemas.openxmlformats.org/officeDocument/2006/relationships/hyperlink" Target="https://www.youtube.com/watch?v=meGT__Uc2pA&amp;list=PLYQLxi4fXFVbcSYTxDRuGf9k721ue61fC" TargetMode="External"/><Relationship Id="rId61" Type="http://schemas.openxmlformats.org/officeDocument/2006/relationships/hyperlink" Target="https://www.youtube.com/watch?v=XcvDWnnWf-8&amp;list=PLYQLxi4fXFVbcSYTxDRuGf9k721ue61fC" TargetMode="External"/><Relationship Id="rId62" Type="http://schemas.openxmlformats.org/officeDocument/2006/relationships/hyperlink" Target="https://www.youtube.com/watch?v=PnHydX68KjE&amp;list=PLYQLxi4fXFVbcSYTxDRuGf9k721ue61fC" TargetMode="External"/><Relationship Id="rId63" Type="http://schemas.openxmlformats.org/officeDocument/2006/relationships/hyperlink" Target="https://www.youtube.com/watch?v=zEhZozdB6O4&amp;list=PLYQLxi4fXFVbcSYTxDRuGf9k721ue61fC" TargetMode="External"/><Relationship Id="rId64" Type="http://schemas.openxmlformats.org/officeDocument/2006/relationships/hyperlink" Target="https://www.youtube.com/watch?v=vv75CCIa4Mg&amp;list=PLYQLxi4fXFVbcSYTxDRuGf9k721ue61fC" TargetMode="External"/><Relationship Id="rId65" Type="http://schemas.openxmlformats.org/officeDocument/2006/relationships/hyperlink" Target="https://www.youtube.com/watch?v=tVX3Vb7U8BQ&amp;list=PLYQLxi4fXFVbcSYTxDRuGf9k721ue61fC" TargetMode="External"/><Relationship Id="rId66" Type="http://schemas.openxmlformats.org/officeDocument/2006/relationships/hyperlink" Target="https://www.youtube.com/watch?v=jqIMG2OoYXw&amp;list=PLYQLxi4fXFVbcSYTxDRuGf9k721ue61fC" TargetMode="External"/><Relationship Id="rId67" Type="http://schemas.openxmlformats.org/officeDocument/2006/relationships/hyperlink" Target="https://www.youtube.com/watch?v=UlPxEboU-DU&amp;list=PLYQLxi4fXFVbcSYTxDRuGf9k721ue61fC" TargetMode="External"/><Relationship Id="rId68" Type="http://schemas.openxmlformats.org/officeDocument/2006/relationships/hyperlink" Target="https://www.youtube.com/watch?v=0QbAcyWBySI&amp;list=PLYQLxi4fXFVbcSYTxDRuGf9k721ue61fC" TargetMode="External"/><Relationship Id="rId69" Type="http://schemas.openxmlformats.org/officeDocument/2006/relationships/hyperlink" Target="https://www.youtube.com/watch?v=pcn6mvpa8HY&amp;list=PLYQLxi4fXFVbcSYTxDRuGf9k721ue61fC" TargetMode="External"/><Relationship Id="rId70" Type="http://schemas.openxmlformats.org/officeDocument/2006/relationships/hyperlink" Target="https://www.youtube.com/watch?v=QUZthcLNrC4&amp;list=PLYQLxi4fXFVbcSYTxDRuGf9k721ue61fC" TargetMode="External"/><Relationship Id="rId71" Type="http://schemas.openxmlformats.org/officeDocument/2006/relationships/hyperlink" Target="https://www.youtube.com/watch?v=yi6ImSjCm8Q&amp;list=PLYQLxi4fXFVbcSYTxDRuGf9k721ue61fC" TargetMode="External"/><Relationship Id="rId72" Type="http://schemas.openxmlformats.org/officeDocument/2006/relationships/hyperlink" Target="https://www.youtube.com/watch?v=yKOs9-399ho&amp;list=PLYQLxi4fXFVbcSYTxDRuGf9k721ue61fC" TargetMode="External"/><Relationship Id="rId73" Type="http://schemas.openxmlformats.org/officeDocument/2006/relationships/hyperlink" Target="https://www.youtube.com/watch?v=cSgoqyqy-18&amp;list=PLYQLxi4fXFVbcSYTxDRuGf9k721ue61fC" TargetMode="External"/><Relationship Id="rId74" Type="http://schemas.openxmlformats.org/officeDocument/2006/relationships/hyperlink" Target="https://www.youtube.com/watch?v=J6JzjodMifk&amp;list=PLYQLxi4fXFVbcSYTxDRuGf9k721ue61fC" TargetMode="External"/><Relationship Id="rId75" Type="http://schemas.openxmlformats.org/officeDocument/2006/relationships/hyperlink" Target="https://www.youtube.com/watch?v=7G8dqRqT79g&amp;list=PLYQLxi4fXFVbcSYTxDRuGf9k721ue61fC" TargetMode="External"/><Relationship Id="rId76" Type="http://schemas.openxmlformats.org/officeDocument/2006/relationships/hyperlink" Target="https://www.youtube.com/watch?v=zcAf83iwjos&amp;list=PLYQLxi4fXFVbcSYTxDRuGf9k721ue61fC" TargetMode="External"/><Relationship Id="rId77" Type="http://schemas.openxmlformats.org/officeDocument/2006/relationships/hyperlink" Target="https://www.youtube.com/watch?v=RTrYtg2WjP0&amp;list=PLYQLxi4fXFVbcSYTxDRuGf9k721ue61fC" TargetMode="External"/><Relationship Id="rId78" Type="http://schemas.openxmlformats.org/officeDocument/2006/relationships/hyperlink" Target="https://www.youtube.com/watch?v=UYIu84vbCwQ&amp;list=PLYQLxi4fXFVbcSYTxDRuGf9k721ue61fC" TargetMode="External"/><Relationship Id="rId79" Type="http://schemas.openxmlformats.org/officeDocument/2006/relationships/hyperlink" Target="https://www.youtube.com/watch?v=KY5N7jjfmDA&amp;list=PLYQLxi4fXFVbcSYTxDRuGf9k721ue61fC" TargetMode="External"/><Relationship Id="rId80" Type="http://schemas.openxmlformats.org/officeDocument/2006/relationships/hyperlink" Target="https://www.youtube.com/watch?v=TyoB4StNGac&amp;list=PLYQLxi4fXFVbcSYTxDRuGf9k721ue61fC" TargetMode="External"/><Relationship Id="rId81" Type="http://schemas.openxmlformats.org/officeDocument/2006/relationships/hyperlink" Target="https://www.youtube.com/watch?v=8ppgZPhB4yw&amp;list=PLYQLxi4fXFVbcSYTxDRuGf9k721ue61fC" TargetMode="External"/><Relationship Id="rId82" Type="http://schemas.openxmlformats.org/officeDocument/2006/relationships/hyperlink" Target="https://www.youtube.com/watch?v=p_AFX1QOav8&amp;list=PLYQLxi4fXFVbcSYTxDRuGf9k721ue61fC" TargetMode="External"/><Relationship Id="rId83" Type="http://schemas.openxmlformats.org/officeDocument/2006/relationships/hyperlink" Target="https://www.youtube.com/watch?v=OopzpExmisQ&amp;list=PLYQLxi4fXFVbcSYTxDRuGf9k721ue61fC" TargetMode="External"/><Relationship Id="rId84" Type="http://schemas.openxmlformats.org/officeDocument/2006/relationships/hyperlink" Target="https://www.youtube.com/watch?v=hmuM-JeMBWE&amp;list=PLYQLxi4fXFVbcSYTxDRuGf9k721ue61fC" TargetMode="External"/><Relationship Id="rId85" Type="http://schemas.openxmlformats.org/officeDocument/2006/relationships/hyperlink" Target="https://www.youtube.com/watch?v=8GHAUNPep4I&amp;list=PLYQLxi4fXFVbcSYTxDRuGf9k721ue61fC" TargetMode="External"/><Relationship Id="rId86" Type="http://schemas.openxmlformats.org/officeDocument/2006/relationships/hyperlink" Target="https://www.youtube.com/watch?v=pk0RmzUCPeU&amp;list=PLYQLxi4fXFVbcSYTxDRuGf9k721ue61fC" TargetMode="External"/><Relationship Id="rId87" Type="http://schemas.openxmlformats.org/officeDocument/2006/relationships/hyperlink" Target="https://www.youtube.com/watch?v=1gYECx_I8oc&amp;list=PLYQLxi4fXFVbcSYTxDRuGf9k721ue61fC" TargetMode="External"/><Relationship Id="rId88" Type="http://schemas.openxmlformats.org/officeDocument/2006/relationships/hyperlink" Target="https://www.youtube.com/watch?v=aLMC34Sgbvg&amp;list=PLYQLxi4fXFVbcSYTxDRuGf9k721ue61fC" TargetMode="External"/><Relationship Id="rId89" Type="http://schemas.openxmlformats.org/officeDocument/2006/relationships/hyperlink" Target="https://www.youtube.com/watch?v=2ioDSAWkY1o&amp;list=PLYQLxi4fXFVbcSYTxDRuGf9k721ue61fC" TargetMode="External"/><Relationship Id="rId90" Type="http://schemas.openxmlformats.org/officeDocument/2006/relationships/hyperlink" Target="https://www.youtube.com/watch?v=E61rVfoOFv0&amp;list=PLYQLxi4fXFVbcSYTxDRuGf9k721ue61fC" TargetMode="External"/><Relationship Id="rId91" Type="http://schemas.openxmlformats.org/officeDocument/2006/relationships/hyperlink" Target="https://www.youtube.com/watch?v=H97ZMXpfxCE&amp;list=PLYQLxi4fXFVbcSYTxDRuGf9k721ue61fC" TargetMode="External"/><Relationship Id="rId92" Type="http://schemas.openxmlformats.org/officeDocument/2006/relationships/hyperlink" Target="https://www.youtube.com/watch?v=5btJr03B5dU&amp;list=PLYQLxi4fXFVbcSYTxDRuGf9k721ue61fC" TargetMode="External"/><Relationship Id="rId93" Type="http://schemas.openxmlformats.org/officeDocument/2006/relationships/hyperlink" Target="https://www.youtube.com/watch?v=bmc8G2uypDk&amp;list=PLYQLxi4fXFVbcSYTxDRuGf9k721ue61fC" TargetMode="External"/><Relationship Id="rId94" Type="http://schemas.openxmlformats.org/officeDocument/2006/relationships/hyperlink" Target="https://www.youtube.com/watch?v=3jTiXAiQelw&amp;list=PLYQLxi4fXFVbcSYTxDRuGf9k721ue61fC" TargetMode="External"/><Relationship Id="rId95" Type="http://schemas.openxmlformats.org/officeDocument/2006/relationships/hyperlink" Target="https://www.youtube.com/watch?v=2tfTECpZJRk&amp;list=PLYQLxi4fXFVbcSYTxDRuGf9k721ue61fC" TargetMode="External"/><Relationship Id="rId96" Type="http://schemas.openxmlformats.org/officeDocument/2006/relationships/hyperlink" Target="https://www.youtube.com/watch?v=zUIS6wXJn3k&amp;list=PLYQLxi4fXFVbcSYTxDRuGf9k721ue61fC" TargetMode="External"/><Relationship Id="rId97" Type="http://schemas.openxmlformats.org/officeDocument/2006/relationships/hyperlink" Target="https://www.youtube.com/watch?v=4tJB6XLXN_w&amp;list=PLYQLxi4fXFVbcSYTxDRuGf9k721ue61fC" TargetMode="External"/><Relationship Id="rId98" Type="http://schemas.openxmlformats.org/officeDocument/2006/relationships/hyperlink" Target="https://www.youtube.com/watch?v=fn1WnFQq0aw&amp;list=PLYQLxi4fXFVbcSYTxDRuGf9k721ue61fC" TargetMode="External"/><Relationship Id="rId99" Type="http://schemas.openxmlformats.org/officeDocument/2006/relationships/hyperlink" Target="https://www.youtube.com/watch?v=owfd1pJZZqU&amp;list=PLYQLxi4fXFVbcSYTxDRuGf9k721ue61fC" TargetMode="External"/><Relationship Id="rId100" Type="http://schemas.openxmlformats.org/officeDocument/2006/relationships/hyperlink" Target="https://www.youtube.com/watch?v=kGnKF1mnC78&amp;list=PLYQLxi4fXFVbcSYTxDRuGf9k721ue61fC" TargetMode="External"/><Relationship Id="rId101" Type="http://schemas.openxmlformats.org/officeDocument/2006/relationships/hyperlink" Target="https://www.youtube.com/watch?v=au3uLoo5lmY&amp;list=PLYQLxi4fXFVbcSYTxDRuGf9k721ue61fC" TargetMode="External"/><Relationship Id="rId102" Type="http://schemas.openxmlformats.org/officeDocument/2006/relationships/hyperlink" Target="https://www.youtube.com/watch?v=QLYYFPYj0TA&amp;list=PLYQLxi4fXFVbcSYTxDRuGf9k721ue61fC" TargetMode="External"/><Relationship Id="rId103" Type="http://schemas.openxmlformats.org/officeDocument/2006/relationships/hyperlink" Target="https://www.youtube.com/watch?v=W7U4Uu7S1hc&amp;list=PLYQLxi4fXFVbcSYTxDRuGf9k721ue61fC" TargetMode="External"/><Relationship Id="rId104" Type="http://schemas.openxmlformats.org/officeDocument/2006/relationships/hyperlink" Target="https://www.youtube.com/watch?v=D_RV4GtAZg0&amp;list=PLYQLxi4fXFVbcSYTxDRuGf9k721ue61fC" TargetMode="External"/><Relationship Id="rId105" Type="http://schemas.openxmlformats.org/officeDocument/2006/relationships/hyperlink" Target="https://www.youtube.com/watch?v=gS6xBM31ABY&amp;list=PLYQLxi4fXFVbcSYTxDRuGf9k721ue61fC" TargetMode="External"/><Relationship Id="rId106" Type="http://schemas.openxmlformats.org/officeDocument/2006/relationships/hyperlink" Target="https://www.youtube.com/watch?v=u8dj-uFoqIQ&amp;list=PLYQLxi4fXFVbcSYTxDRuGf9k721ue61fC" TargetMode="External"/><Relationship Id="rId107" Type="http://schemas.openxmlformats.org/officeDocument/2006/relationships/hyperlink" Target="https://www.youtube.com/watch?v=9Yqkihd4cdQ&amp;list=PLYQLxi4fXFVbcSYTxDRuGf9k721ue61fC" TargetMode="External"/><Relationship Id="rId108" Type="http://schemas.openxmlformats.org/officeDocument/2006/relationships/hyperlink" Target="https://www.youtube.com/watch?v=zf6ll8Byw7Y&amp;list=PLYQLxi4fXFVbcSYTxDRuGf9k721ue61fC" TargetMode="External"/><Relationship Id="rId109" Type="http://schemas.openxmlformats.org/officeDocument/2006/relationships/hyperlink" Target="https://www.youtube.com/watch?v=bLtWrKCA5GI&amp;list=PLYQLxi4fXFVbcSYTxDRuGf9k721ue61fC" TargetMode="External"/><Relationship Id="rId110" Type="http://schemas.openxmlformats.org/officeDocument/2006/relationships/hyperlink" Target="https://www.youtube.com/watch?v=wbF5UVQ-qDE&amp;list=PLYQLxi4fXFVbcSYTxDRuGf9k721ue61fC" TargetMode="External"/><Relationship Id="rId111" Type="http://schemas.openxmlformats.org/officeDocument/2006/relationships/hyperlink" Target="https://www.youtube.com/watch?v=Rn-GoKACKW0&amp;list=PLYQLxi4fXFVbcSYTxDRuGf9k721ue61fC" TargetMode="External"/><Relationship Id="rId112" Type="http://schemas.openxmlformats.org/officeDocument/2006/relationships/hyperlink" Target="https://www.youtube.com/watch?v=nzHB_bd3VwI&amp;list=PLYQLxi4fXFVbcSYTxDRuGf9k721ue61fC" TargetMode="External"/><Relationship Id="rId113" Type="http://schemas.openxmlformats.org/officeDocument/2006/relationships/hyperlink" Target="https://www.youtube.com/watch?v=Dxjw4DEL2zQ&amp;list=PLYQLxi4fXFVbcSYTxDRuGf9k721ue61fC" TargetMode="External"/><Relationship Id="rId114" Type="http://schemas.openxmlformats.org/officeDocument/2006/relationships/hyperlink" Target="https://www.youtube.com/watch?v=99GRjxNQhb8&amp;list=PLYQLxi4fXFVbcSYTxDRuGf9k721ue61fC" TargetMode="External"/><Relationship Id="rId115" Type="http://schemas.openxmlformats.org/officeDocument/2006/relationships/hyperlink" Target="https://www.youtube.com/watch?v=KMDFvVUSQzI&amp;list=PLYQLxi4fXFVbcSYTxDRuGf9k721ue61fC" TargetMode="External"/><Relationship Id="rId116" Type="http://schemas.openxmlformats.org/officeDocument/2006/relationships/hyperlink" Target="https://www.youtube.com/watch?v=gybn4uu6mbQ&amp;list=PLYQLxi4fXFVbcSYTxDRuGf9k721ue61fC" TargetMode="External"/><Relationship Id="rId117" Type="http://schemas.openxmlformats.org/officeDocument/2006/relationships/hyperlink" Target="https://www.youtube.com/watch?v=JMCrq2SLRpQ&amp;list=PLYQLxi4fXFVbcSYTxDRuGf9k721ue61fC" TargetMode="External"/><Relationship Id="rId118" Type="http://schemas.openxmlformats.org/officeDocument/2006/relationships/hyperlink" Target="https://www.youtube.com/watch?v=hnnaqLmezm4&amp;list=PLYQLxi4fXFVbcSYTxDRuGf9k721ue61fC" TargetMode="External"/><Relationship Id="rId119" Type="http://schemas.openxmlformats.org/officeDocument/2006/relationships/hyperlink" Target="https://www.youtube.com/watch?v=MYCvr4BP4Zg&amp;list=PLYQLxi4fXFVbcSYTxDRuGf9k721ue61fC" TargetMode="External"/><Relationship Id="rId120" Type="http://schemas.openxmlformats.org/officeDocument/2006/relationships/hyperlink" Target="https://www.youtube.com/watch?v=iw-sOdNEWQk&amp;list=PLYQLxi4fXFVbcSYTxDRuGf9k721ue61fC" TargetMode="External"/><Relationship Id="rId121" Type="http://schemas.openxmlformats.org/officeDocument/2006/relationships/hyperlink" Target="https://www.youtube.com/watch?v=vzveYBpesXI&amp;list=PLYQLxi4fXFVbcSYTxDRuGf9k721ue61fC" TargetMode="External"/><Relationship Id="rId122" Type="http://schemas.openxmlformats.org/officeDocument/2006/relationships/hyperlink" Target="https://www.youtube.com/watch?v=1tavJ15mtaQ&amp;list=PLYQLxi4fXFVbcSYTxDRuGf9k721ue61fC" TargetMode="External"/><Relationship Id="rId123" Type="http://schemas.openxmlformats.org/officeDocument/2006/relationships/hyperlink" Target="https://www.youtube.com/watch?v=aBhA4FU7bb4&amp;list=PLYQLxi4fXFVbcSYTxDRuGf9k721ue61fC" TargetMode="External"/><Relationship Id="rId124" Type="http://schemas.openxmlformats.org/officeDocument/2006/relationships/hyperlink" Target="https://www.youtube.com/watch?v=ByO3qIfPXm4&amp;list=PLYQLxi4fXFVbcSYTxDRuGf9k721ue61fC" TargetMode="External"/><Relationship Id="rId125" Type="http://schemas.openxmlformats.org/officeDocument/2006/relationships/hyperlink" Target="https://www.youtube.com/watch?v=iomcD3-o480&amp;list=PLYQLxi4fXFVbcSYTxDRuGf9k721ue61fC" TargetMode="External"/><Relationship Id="rId126" Type="http://schemas.openxmlformats.org/officeDocument/2006/relationships/hyperlink" Target="https://www.youtube.com/watch?v=oS1QUUfp8WA&amp;list=PLYQLxi4fXFVbcSYTxDRuGf9k721ue61fC" TargetMode="External"/><Relationship Id="rId127" Type="http://schemas.openxmlformats.org/officeDocument/2006/relationships/hyperlink" Target="https://www.youtube.com/watch?v=wEErWvDG9SQ&amp;list=PLYQLxi4fXFVbcSYTxDRuGf9k721ue61fC" TargetMode="External"/><Relationship Id="rId128" Type="http://schemas.openxmlformats.org/officeDocument/2006/relationships/hyperlink" Target="https://www.youtube.com/watch?v=vBZCXuJZe9M&amp;list=PLYQLxi4fXFVbcSYTxDRuGf9k721ue61fC" TargetMode="External"/><Relationship Id="rId129" Type="http://schemas.openxmlformats.org/officeDocument/2006/relationships/hyperlink" Target="https://www.youtube.com/watch?v=BETkRYeQa8w&amp;list=PLYQLxi4fXFVbcSYTxDRuGf9k721ue61fC" TargetMode="External"/><Relationship Id="rId130" Type="http://schemas.openxmlformats.org/officeDocument/2006/relationships/hyperlink" Target="https://www.youtube.com/watch?v=i7d_BakjplM&amp;list=PLYQLxi4fXFVbcSYTxDRuGf9k721ue61fC" TargetMode="External"/><Relationship Id="rId131" Type="http://schemas.openxmlformats.org/officeDocument/2006/relationships/hyperlink" Target="https://www.youtube.com/watch?v=nCo_JsP8PcI&amp;list=PLYQLxi4fXFVbcSYTxDRuGf9k721ue61fC" TargetMode="External"/><Relationship Id="rId132" Type="http://schemas.openxmlformats.org/officeDocument/2006/relationships/hyperlink" Target="https://www.youtube.com/watch?v=IqIK7Pd8KMw&amp;list=PLYQLxi4fXFVbcSYTxDRuGf9k721ue61fC" TargetMode="External"/><Relationship Id="rId133" Type="http://schemas.openxmlformats.org/officeDocument/2006/relationships/hyperlink" Target="https://www.youtube.com/watch?v=F2c2N8JHjXk&amp;list=PLYQLxi4fXFVbcSYTxDRuGf9k721ue61fC" TargetMode="External"/><Relationship Id="rId134" Type="http://schemas.openxmlformats.org/officeDocument/2006/relationships/hyperlink" Target="https://www.youtube.com/watch?v=CaubSVyLEEc&amp;list=PLYQLxi4fXFVbcSYTxDRuGf9k721ue61fC" TargetMode="External"/><Relationship Id="rId135" Type="http://schemas.openxmlformats.org/officeDocument/2006/relationships/hyperlink" Target="https://www.youtube.com/watch?v=JnAjqvcOzdY&amp;list=PLYQLxi4fXFVbcSYTxDRuGf9k721ue61fC" TargetMode="External"/><Relationship Id="rId136" Type="http://schemas.openxmlformats.org/officeDocument/2006/relationships/hyperlink" Target="https://www.youtube.com/watch?v=GW-tmoOOE_M&amp;list=PLYQLxi4fXFVbcSYTxDRuGf9k721ue61fC" TargetMode="External"/><Relationship Id="rId137" Type="http://schemas.openxmlformats.org/officeDocument/2006/relationships/hyperlink" Target="https://www.youtube.com/watch?v=N-Oi16BnDa0&amp;list=PLYQLxi4fXFVbcSYTxDRuGf9k721ue61fC" TargetMode="External"/><Relationship Id="rId138" Type="http://schemas.openxmlformats.org/officeDocument/2006/relationships/hyperlink" Target="https://www.youtube.com/watch?v=TISpEphiiuU&amp;list=PLYQLxi4fXFVbcSYTxDRuGf9k721ue61fC" TargetMode="External"/><Relationship Id="rId139" Type="http://schemas.openxmlformats.org/officeDocument/2006/relationships/hyperlink" Target="https://www.youtube.com/watch?v=yNHfBgiuVmQ&amp;list=PLYQLxi4fXFVbcSYTxDRuGf9k721ue61fC" TargetMode="External"/><Relationship Id="rId140" Type="http://schemas.openxmlformats.org/officeDocument/2006/relationships/hyperlink" Target="https://www.youtube.com/watch?v=GeG895R5EtU&amp;list=PL6W8uoQQ2c63f469AyV78np0rbxRFppkx" TargetMode="External"/><Relationship Id="rId141" Type="http://schemas.openxmlformats.org/officeDocument/2006/relationships/hyperlink" Target="https://www.youtube.com/watch?v=MIYbPZCk34k&amp;list=PL6W8uoQQ2c63f469AyV78np0rbxRFppkx" TargetMode="External"/><Relationship Id="rId142" Type="http://schemas.openxmlformats.org/officeDocument/2006/relationships/hyperlink" Target="https://www.youtube.com/watch?v=IoireaKRRFo&amp;list=PL6W8uoQQ2c63f469AyV78np0rbxRFppkx" TargetMode="External"/><Relationship Id="rId143" Type="http://schemas.openxmlformats.org/officeDocument/2006/relationships/hyperlink" Target="https://www.youtube.com/watch?v=ijEJJuIQdzY&amp;list=PL6W8uoQQ2c63f469AyV78np0rbxRFppkx" TargetMode="External"/><Relationship Id="rId144" Type="http://schemas.openxmlformats.org/officeDocument/2006/relationships/hyperlink" Target="https://www.youtube.com/watch?v=Q6_jrvz-R7w&amp;list=PL6W8uoQQ2c63f469AyV78np0rbxRFppkx" TargetMode="External"/><Relationship Id="rId145" Type="http://schemas.openxmlformats.org/officeDocument/2006/relationships/hyperlink" Target="https://www.youtube.com/watch?v=NZ3qAfM8Ztw&amp;list=PL6W8uoQQ2c63f469AyV78np0rbxRFppkx" TargetMode="External"/><Relationship Id="rId146" Type="http://schemas.openxmlformats.org/officeDocument/2006/relationships/hyperlink" Target="https://www.youtube.com/watch?v=1Ox0fyJuUVY&amp;list=PL6W8uoQQ2c63f469AyV78np0rbxRFppkx" TargetMode="External"/><Relationship Id="rId147" Type="http://schemas.openxmlformats.org/officeDocument/2006/relationships/hyperlink" Target="https://www.youtube.com/watch?v=Lqan4AF9wzA&amp;list=PL6W8uoQQ2c63f469AyV78np0rbxRFppkx" TargetMode="External"/><Relationship Id="rId148" Type="http://schemas.openxmlformats.org/officeDocument/2006/relationships/hyperlink" Target="https://www.youtube.com/watch?v=_hHtmSt5dSg&amp;list=PL6W8uoQQ2c63f469AyV78np0rbxRFppkx" TargetMode="External"/><Relationship Id="rId149" Type="http://schemas.openxmlformats.org/officeDocument/2006/relationships/hyperlink" Target="https://www.youtube.com/watch?v=vz6vSZRuS2M&amp;list=PL6W8uoQQ2c63f469AyV78np0rbxRFppkx" TargetMode="External"/><Relationship Id="rId150" Type="http://schemas.openxmlformats.org/officeDocument/2006/relationships/hyperlink" Target="https://www.youtube.com/watch?v=aecJeZgl__4&amp;list=PL6W8uoQQ2c63f469AyV78np0rbxRFppkx" TargetMode="External"/><Relationship Id="rId151" Type="http://schemas.openxmlformats.org/officeDocument/2006/relationships/hyperlink" Target="https://www.youtube.com/watch?v=NCx_ABybp2o&amp;list=PL6W8uoQQ2c63f469AyV78np0rbxRFppkx" TargetMode="External"/><Relationship Id="rId152" Type="http://schemas.openxmlformats.org/officeDocument/2006/relationships/hyperlink" Target="https://www.youtube.com/watch?v=zNCtAAqxjT0&amp;list=PL6W8uoQQ2c63f469AyV78np0rbxRFppkx" TargetMode="External"/><Relationship Id="rId153" Type="http://schemas.openxmlformats.org/officeDocument/2006/relationships/hyperlink" Target="https://www.youtube.com/watch?v=SqDbZOjW1uM&amp;list=PL6W8uoQQ2c63f469AyV78np0rbxRFppkx" TargetMode="External"/><Relationship Id="rId154" Type="http://schemas.openxmlformats.org/officeDocument/2006/relationships/hyperlink" Target="https://www.youtube.com/watch?v=aj3SLuDkGWg&amp;list=PL6W8uoQQ2c63f469AyV78np0rbxRFppkx" TargetMode="External"/><Relationship Id="rId155" Type="http://schemas.openxmlformats.org/officeDocument/2006/relationships/hyperlink" Target="https://www.youtube.com/watch?v=ZFPajbsXIwM&amp;list=PL6W8uoQQ2c63f469AyV78np0rbxRFppkx" TargetMode="External"/><Relationship Id="rId156" Type="http://schemas.openxmlformats.org/officeDocument/2006/relationships/hyperlink" Target="https://www.youtube.com/watch?v=YXRBBOjgrFU&amp;list=PL6W8uoQQ2c63f469AyV78np0rbxRFppkx" TargetMode="External"/><Relationship Id="rId157" Type="http://schemas.openxmlformats.org/officeDocument/2006/relationships/hyperlink" Target="https://www.youtube.com/watch?v=P4UAoYiaHg4&amp;list=PL6W8uoQQ2c63f469AyV78np0rbxRFppkx" TargetMode="External"/><Relationship Id="rId158" Type="http://schemas.openxmlformats.org/officeDocument/2006/relationships/hyperlink" Target="https://www.youtube.com/watch?v=H5WYze-FL50&amp;list=PL6W8uoQQ2c63f469AyV78np0rbxRFppkx" TargetMode="External"/><Relationship Id="rId159" Type="http://schemas.openxmlformats.org/officeDocument/2006/relationships/hyperlink" Target="https://www.youtube.com/watch?v=tw4wWCsGNe4&amp;list=PL6W8uoQQ2c63f469AyV78np0rbxRFppkx" TargetMode="External"/><Relationship Id="rId160" Type="http://schemas.openxmlformats.org/officeDocument/2006/relationships/hyperlink" Target="https://www.youtube.com/watch?v=ZsyUkt0v-ko&amp;list=PL6W8uoQQ2c63f469AyV78np0rbxRFppkx" TargetMode="External"/><Relationship Id="rId161" Type="http://schemas.openxmlformats.org/officeDocument/2006/relationships/hyperlink" Target="https://www.youtube.com/watch?v=Z2B5CYMEWfc&amp;list=PL6W8uoQQ2c63f469AyV78np0rbxRFppkx" TargetMode="External"/><Relationship Id="rId162" Type="http://schemas.openxmlformats.org/officeDocument/2006/relationships/hyperlink" Target="https://www.youtube.com/watch?v=TT1-qsuHMXs&amp;list=PL6W8uoQQ2c63f469AyV78np0rbxRFppkx" TargetMode="External"/><Relationship Id="rId163" Type="http://schemas.openxmlformats.org/officeDocument/2006/relationships/hyperlink" Target="https://www.youtube.com/watch?v=vVfZIWMEzMM&amp;list=PL6W8uoQQ2c63f469AyV78np0rbxRFppkx" TargetMode="External"/><Relationship Id="rId164" Type="http://schemas.openxmlformats.org/officeDocument/2006/relationships/hyperlink" Target="https://www.youtube.com/watch?v=0P6ToH8mi14&amp;list=PL6W8uoQQ2c63f469AyV78np0rbxRFppkx" TargetMode="External"/><Relationship Id="rId165" Type="http://schemas.openxmlformats.org/officeDocument/2006/relationships/hyperlink" Target="https://www.youtube.com/watch?v=VjYRxcbmEso&amp;list=PL6W8uoQQ2c63f469AyV78np0rbxRFppkx" TargetMode="External"/><Relationship Id="rId166" Type="http://schemas.openxmlformats.org/officeDocument/2006/relationships/hyperlink" Target="https://www.youtube.com/watch?v=SDsUL7VFyvg&amp;list=PL6W8uoQQ2c63f469AyV78np0rbxRFppkx" TargetMode="External"/><Relationship Id="rId167" Type="http://schemas.openxmlformats.org/officeDocument/2006/relationships/hyperlink" Target="https://www.youtube.com/watch?v=gikFgvzFuwo&amp;list=PL6W8uoQQ2c63f469AyV78np0rbxRFppkx" TargetMode="External"/><Relationship Id="rId168" Type="http://schemas.openxmlformats.org/officeDocument/2006/relationships/hyperlink" Target="https://www.youtube.com/watch?v=nEno48RpDR4&amp;list=PL6W8uoQQ2c63f469AyV78np0rbxRFppkx" TargetMode="External"/><Relationship Id="rId169" Type="http://schemas.openxmlformats.org/officeDocument/2006/relationships/hyperlink" Target="https://www.youtube.com/watch?v=TpYIcJN9EV8&amp;list=PL6W8uoQQ2c63f469AyV78np0rbxRFppkx" TargetMode="External"/><Relationship Id="rId170" Type="http://schemas.openxmlformats.org/officeDocument/2006/relationships/hyperlink" Target="https://www.youtube.com/watch?v=AYiE7_loIsE&amp;list=PL6W8uoQQ2c63f469AyV78np0rbxRFppkx" TargetMode="External"/><Relationship Id="rId171" Type="http://schemas.openxmlformats.org/officeDocument/2006/relationships/hyperlink" Target="https://www.youtube.com/watch?v=cdsFwGDVzpg&amp;list=PL6W8uoQQ2c63f469AyV78np0rbxRFppkx" TargetMode="External"/><Relationship Id="rId172" Type="http://schemas.openxmlformats.org/officeDocument/2006/relationships/hyperlink" Target="https://www.youtube.com/watch?v=DPob5NLzKFI&amp;list=PL6W8uoQQ2c63f469AyV78np0rbxRFppkx" TargetMode="External"/><Relationship Id="rId173" Type="http://schemas.openxmlformats.org/officeDocument/2006/relationships/hyperlink" Target="https://www.youtube.com/watch?v=JGb4qNEBW6Q&amp;list=PL6W8uoQQ2c63f469AyV78np0rbxRFppkx" TargetMode="External"/><Relationship Id="rId174" Type="http://schemas.openxmlformats.org/officeDocument/2006/relationships/hyperlink" Target="https://www.youtube.com/watch?v=ZUWs2U71vvk&amp;list=PL6W8uoQQ2c63f469AyV78np0rbxRFppkx" TargetMode="External"/><Relationship Id="rId175" Type="http://schemas.openxmlformats.org/officeDocument/2006/relationships/hyperlink" Target="https://www.youtube.com/watch?v=SFwCiYwr3yQ&amp;list=PL6W8uoQQ2c63f469AyV78np0rbxRFppkx" TargetMode="External"/><Relationship Id="rId176" Type="http://schemas.openxmlformats.org/officeDocument/2006/relationships/hyperlink" Target="https://www.youtube.com/watch?v=VlfVyz-QG60&amp;list=PL6W8uoQQ2c63f469AyV78np0rbxRFppkx" TargetMode="External"/><Relationship Id="rId177" Type="http://schemas.openxmlformats.org/officeDocument/2006/relationships/hyperlink" Target="https://www.youtube.com/watch?v=PR1YkZWAH1E&amp;list=PL6W8uoQQ2c63f469AyV78np0rbxRFppkx" TargetMode="External"/><Relationship Id="rId178" Type="http://schemas.openxmlformats.org/officeDocument/2006/relationships/hyperlink" Target="https://www.youtube.com/watch?v=pXVEEfYMwws&amp;list=PL6W8uoQQ2c63f469AyV78np0rbxRFppkx" TargetMode="External"/><Relationship Id="rId179" Type="http://schemas.openxmlformats.org/officeDocument/2006/relationships/hyperlink" Target="https://www.youtube.com/watch?v=fGqb6cmA22A&amp;list=PL6W8uoQQ2c63f469AyV78np0rbxRFppkx" TargetMode="External"/><Relationship Id="rId180" Type="http://schemas.openxmlformats.org/officeDocument/2006/relationships/hyperlink" Target="https://www.youtube.com/watch?v=xYky-RDlnpY&amp;list=PL6W8uoQQ2c63f469AyV78np0rbxRFppkx" TargetMode="External"/><Relationship Id="rId181" Type="http://schemas.openxmlformats.org/officeDocument/2006/relationships/hyperlink" Target="https://www.youtube.com/watch?v=BgBDbc8F4A8&amp;list=PL6W8uoQQ2c63f469AyV78np0rbxRFppkx" TargetMode="External"/><Relationship Id="rId182" Type="http://schemas.openxmlformats.org/officeDocument/2006/relationships/hyperlink" Target="https://www.youtube.com/watch?v=blb1guXuVxA&amp;list=PL6W8uoQQ2c63f469AyV78np0rbxRFppkx" TargetMode="External"/><Relationship Id="rId183" Type="http://schemas.openxmlformats.org/officeDocument/2006/relationships/hyperlink" Target="https://www.youtube.com/watch?v=KmX4uHi-KY0&amp;list=PL6W8uoQQ2c63f469AyV78np0rbxRFppkx" TargetMode="External"/><Relationship Id="rId184" Type="http://schemas.openxmlformats.org/officeDocument/2006/relationships/hyperlink" Target="https://www.youtube.com/watch?v=IwoidRDGEb8&amp;list=PL6W8uoQQ2c63f469AyV78np0rbxRFppkx" TargetMode="External"/><Relationship Id="rId185" Type="http://schemas.openxmlformats.org/officeDocument/2006/relationships/hyperlink" Target="https://www.youtube.com/watch?v=w7ZyscLnaM4&amp;list=PL6W8uoQQ2c63f469AyV78np0rbxRFppkx" TargetMode="External"/><Relationship Id="rId186" Type="http://schemas.openxmlformats.org/officeDocument/2006/relationships/hyperlink" Target="https://www.youtube.com/watch?v=z04mr_i2SO8&amp;list=PL6W8uoQQ2c63f469AyV78np0rbxRFppkx" TargetMode="External"/><Relationship Id="rId187" Type="http://schemas.openxmlformats.org/officeDocument/2006/relationships/hyperlink" Target="https://www.youtube.com/watch?v=4ZxIOwi4r_g&amp;list=PL6W8uoQQ2c63f469AyV78np0rbxRFppkx" TargetMode="External"/><Relationship Id="rId188" Type="http://schemas.openxmlformats.org/officeDocument/2006/relationships/hyperlink" Target="https://www.youtube.com/watch?v=e_S2yJKpTaw&amp;list=PL6W8uoQQ2c63f469AyV78np0rbxRFppkx" TargetMode="External"/><Relationship Id="rId189" Type="http://schemas.openxmlformats.org/officeDocument/2006/relationships/hyperlink" Target="https://www.youtube.com/watch?v=pqEqj58bnxc&amp;list=PL6W8uoQQ2c63f469AyV78np0rbxRFppkx" TargetMode="External"/><Relationship Id="rId190" Type="http://schemas.openxmlformats.org/officeDocument/2006/relationships/hyperlink" Target="https://www.youtube.com/watch?v=wZ3b--utf1s&amp;list=PL6W8uoQQ2c63f469AyV78np0rbxRFppkx" TargetMode="External"/><Relationship Id="rId191" Type="http://schemas.openxmlformats.org/officeDocument/2006/relationships/hyperlink" Target="https://www.youtube.com/watch?v=vocQoMkHJ78&amp;list=PL6W8uoQQ2c63f469AyV78np0rbxRFppkx" TargetMode="External"/><Relationship Id="rId192" Type="http://schemas.openxmlformats.org/officeDocument/2006/relationships/hyperlink" Target="https://www.youtube.com/watch?v=LBqE4YOvhyc&amp;list=PLQEaRBV9gAFsR15tNo2QLF9d2qc-c018p" TargetMode="External"/><Relationship Id="rId193" Type="http://schemas.openxmlformats.org/officeDocument/2006/relationships/hyperlink" Target="https://www.youtube.com/watch?v=pdS8_smlsXA&amp;list=PLQEaRBV9gAFsR15tNo2QLF9d2qc-c018p" TargetMode="External"/><Relationship Id="rId194" Type="http://schemas.openxmlformats.org/officeDocument/2006/relationships/hyperlink" Target="https://www.youtube.com/watch?v=NtmULLvsABc&amp;list=PLQEaRBV9gAFsR15tNo2QLF9d2qc-c018p" TargetMode="External"/><Relationship Id="rId195" Type="http://schemas.openxmlformats.org/officeDocument/2006/relationships/hyperlink" Target="https://www.youtube.com/watch?v=iV8hy9DdKFM&amp;list=PLQEaRBV9gAFsR15tNo2QLF9d2qc-c018p" TargetMode="External"/><Relationship Id="rId196" Type="http://schemas.openxmlformats.org/officeDocument/2006/relationships/hyperlink" Target="https://www.youtube.com/watch?v=QpWha2cLS1c&amp;list=PLQEaRBV9gAFsR15tNo2QLF9d2qc-c018p" TargetMode="External"/><Relationship Id="rId197" Type="http://schemas.openxmlformats.org/officeDocument/2006/relationships/hyperlink" Target="https://www.youtube.com/watch?v=Tdq4fmDCJH8&amp;list=PLQEaRBV9gAFsR15tNo2QLF9d2qc-c018p" TargetMode="External"/><Relationship Id="rId198" Type="http://schemas.openxmlformats.org/officeDocument/2006/relationships/hyperlink" Target="https://www.youtube.com/watch?v=cdNhXVb5j7o&amp;list=PLQEaRBV9gAFsR15tNo2QLF9d2qc-c018p" TargetMode="External"/><Relationship Id="rId199" Type="http://schemas.openxmlformats.org/officeDocument/2006/relationships/hyperlink" Target="https://www.youtube.com/watch?v=d6hNDJrj1bw&amp;list=PLQEaRBV9gAFsR15tNo2QLF9d2qc-c018p" TargetMode="External"/><Relationship Id="rId200" Type="http://schemas.openxmlformats.org/officeDocument/2006/relationships/hyperlink" Target="https://www.youtube.com/watch?v=ajNs-dylWIM&amp;list=PLQEaRBV9gAFsR15tNo2QLF9d2qc-c018p" TargetMode="External"/><Relationship Id="rId201" Type="http://schemas.openxmlformats.org/officeDocument/2006/relationships/hyperlink" Target="https://www.youtube.com/watch?v=Qg73uiG9b6A&amp;list=PLQEaRBV9gAFsR15tNo2QLF9d2qc-c018p" TargetMode="External"/><Relationship Id="rId202" Type="http://schemas.openxmlformats.org/officeDocument/2006/relationships/hyperlink" Target="https://www.youtube.com/watch?v=IhtjMWXwNCc&amp;list=PLQEaRBV9gAFsR15tNo2QLF9d2qc-c018p" TargetMode="External"/><Relationship Id="rId203" Type="http://schemas.openxmlformats.org/officeDocument/2006/relationships/hyperlink" Target="https://www.youtube.com/watch?v=tmXD7Kzun54&amp;list=PLQEaRBV9gAFsR15tNo2QLF9d2qc-c018p" TargetMode="External"/><Relationship Id="rId204" Type="http://schemas.openxmlformats.org/officeDocument/2006/relationships/hyperlink" Target="https://www.youtube.com/watch?v=RADpqk79IzQ&amp;list=PLQEaRBV9gAFsR15tNo2QLF9d2qc-c018p" TargetMode="External"/><Relationship Id="rId205" Type="http://schemas.openxmlformats.org/officeDocument/2006/relationships/hyperlink" Target="https://www.youtube.com/watch?v=7yd5qO2TPr0&amp;list=PLQEaRBV9gAFsR15tNo2QLF9d2qc-c018p" TargetMode="External"/><Relationship Id="rId206" Type="http://schemas.openxmlformats.org/officeDocument/2006/relationships/hyperlink" Target="https://www.youtube.com/watch?v=Lyg4ZcrjUBw&amp;list=PLQEaRBV9gAFsR15tNo2QLF9d2qc-c018p" TargetMode="External"/><Relationship Id="rId207" Type="http://schemas.openxmlformats.org/officeDocument/2006/relationships/hyperlink" Target="https://www.youtube.com/watch?v=jfLpzL1VW7Q&amp;list=PLQEaRBV9gAFsR15tNo2QLF9d2qc-c018p" TargetMode="External"/><Relationship Id="rId208" Type="http://schemas.openxmlformats.org/officeDocument/2006/relationships/hyperlink" Target="https://www.youtube.com/watch?v=-L9BcU6Xk2c&amp;list=PLQEaRBV9gAFsR15tNo2QLF9d2qc-c018p" TargetMode="External"/><Relationship Id="rId209" Type="http://schemas.openxmlformats.org/officeDocument/2006/relationships/hyperlink" Target="https://www.youtube.com/watch?v=crVwHNW-fX8&amp;list=PLQEaRBV9gAFsR15tNo2QLF9d2qc-c018p" TargetMode="External"/><Relationship Id="rId210" Type="http://schemas.openxmlformats.org/officeDocument/2006/relationships/hyperlink" Target="https://www.youtube.com/watch?v=0LaBK28_470&amp;list=PLQEaRBV9gAFsR15tNo2QLF9d2qc-c018p" TargetMode="External"/><Relationship Id="rId211" Type="http://schemas.openxmlformats.org/officeDocument/2006/relationships/hyperlink" Target="https://www.youtube.com/watch?v=yfMWLZGEPwo&amp;list=PLQEaRBV9gAFsR15tNo2QLF9d2qc-c018p" TargetMode="External"/><Relationship Id="rId212" Type="http://schemas.openxmlformats.org/officeDocument/2006/relationships/hyperlink" Target="https://www.youtube.com/watch?v=vgQVz5OdFws&amp;list=PLQEaRBV9gAFsR15tNo2QLF9d2qc-c018p" TargetMode="External"/><Relationship Id="rId213" Type="http://schemas.openxmlformats.org/officeDocument/2006/relationships/hyperlink" Target="https://www.youtube.com/watch?v=541Zpv6sOKo&amp;list=PLQEaRBV9gAFsR15tNo2QLF9d2qc-c018p" TargetMode="External"/><Relationship Id="rId214" Type="http://schemas.openxmlformats.org/officeDocument/2006/relationships/hyperlink" Target="https://www.youtube.com/watch?v=oXhy5dT-0Qs&amp;list=PLQEaRBV9gAFsR15tNo2QLF9d2qc-c018p" TargetMode="External"/><Relationship Id="rId215" Type="http://schemas.openxmlformats.org/officeDocument/2006/relationships/hyperlink" Target="https://www.youtube.com/watch?v=YLLFHuStkW8&amp;list=PLQEaRBV9gAFsR15tNo2QLF9d2qc-c018p" TargetMode="External"/><Relationship Id="rId216" Type="http://schemas.openxmlformats.org/officeDocument/2006/relationships/hyperlink" Target="https://www.youtube.com/watch?v=N0b8lRXtK_Y&amp;list=PLQEaRBV9gAFsR15tNo2QLF9d2qc-c018p" TargetMode="External"/><Relationship Id="rId217" Type="http://schemas.openxmlformats.org/officeDocument/2006/relationships/hyperlink" Target="https://www.youtube.com/watch?v=JcAD9a22Rks&amp;list=PLQEaRBV9gAFsR15tNo2QLF9d2qc-c018p" TargetMode="External"/><Relationship Id="rId218" Type="http://schemas.openxmlformats.org/officeDocument/2006/relationships/hyperlink" Target="https://www.youtube.com/watch?v=Y7X_ReDF3x8&amp;list=PLQEaRBV9gAFsR15tNo2QLF9d2qc-c018p" TargetMode="External"/><Relationship Id="rId219" Type="http://schemas.openxmlformats.org/officeDocument/2006/relationships/hyperlink" Target="https://www.youtube.com/watch?v=Opb2q2WSyes&amp;list=PLQEaRBV9gAFsR15tNo2QLF9d2qc-c018p" TargetMode="External"/><Relationship Id="rId220" Type="http://schemas.openxmlformats.org/officeDocument/2006/relationships/hyperlink" Target="https://www.youtube.com/watch?v=mW2OO6d6_BE&amp;list=PLQEaRBV9gAFsR15tNo2QLF9d2qc-c018p" TargetMode="External"/><Relationship Id="rId221" Type="http://schemas.openxmlformats.org/officeDocument/2006/relationships/hyperlink" Target="https://www.youtube.com/watch?v=LVwpxEZ6uMQ&amp;list=PLQEaRBV9gAFsR15tNo2QLF9d2qc-c018p" TargetMode="External"/><Relationship Id="rId222" Type="http://schemas.openxmlformats.org/officeDocument/2006/relationships/hyperlink" Target="https://www.youtube.com/watch?v=cazzzwdLAkQ&amp;list=PLQEaRBV9gAFsR15tNo2QLF9d2qc-c018p" TargetMode="External"/><Relationship Id="rId223" Type="http://schemas.openxmlformats.org/officeDocument/2006/relationships/hyperlink" Target="https://www.youtube.com/watch?v=OfNtIOGDqzY&amp;list=PLQEaRBV9gAFsR15tNo2QLF9d2qc-c018p" TargetMode="External"/><Relationship Id="rId224" Type="http://schemas.openxmlformats.org/officeDocument/2006/relationships/hyperlink" Target="https://www.youtube.com/watch?v=kzZ1TlGTWmY&amp;list=PLQEaRBV9gAFsR15tNo2QLF9d2qc-c018p" TargetMode="External"/><Relationship Id="rId225" Type="http://schemas.openxmlformats.org/officeDocument/2006/relationships/hyperlink" Target="https://www.youtube.com/watch?v=b1Uj_2MPBwA&amp;list=PLQEaRBV9gAFsR15tNo2QLF9d2qc-c018p" TargetMode="External"/><Relationship Id="rId226" Type="http://schemas.openxmlformats.org/officeDocument/2006/relationships/hyperlink" Target="https://www.youtube.com/watch?v=zj0-JIc5oPw&amp;list=PLQEaRBV9gAFsR15tNo2QLF9d2qc-c018p" TargetMode="External"/><Relationship Id="rId227" Type="http://schemas.openxmlformats.org/officeDocument/2006/relationships/hyperlink" Target="https://www.youtube.com/watch?v=uUo7AV02vJM&amp;list=PLQEaRBV9gAFsR15tNo2QLF9d2qc-c018p" TargetMode="External"/><Relationship Id="rId228" Type="http://schemas.openxmlformats.org/officeDocument/2006/relationships/hyperlink" Target="https://www.youtube.com/watch?v=0V-w2BywAM0&amp;list=PLQEaRBV9gAFsR15tNo2QLF9d2qc-c018p" TargetMode="External"/><Relationship Id="rId229" Type="http://schemas.openxmlformats.org/officeDocument/2006/relationships/hyperlink" Target="https://www.youtube.com/watch?v=IsC0Ms2iFi8&amp;list=PLQEaRBV9gAFsR15tNo2QLF9d2qc-c018p" TargetMode="External"/><Relationship Id="rId230" Type="http://schemas.openxmlformats.org/officeDocument/2006/relationships/hyperlink" Target="https://www.youtube.com/watch?v=-jHyDEXHr_U&amp;list=PLQEaRBV9gAFsR15tNo2QLF9d2qc-c018p" TargetMode="External"/><Relationship Id="rId231" Type="http://schemas.openxmlformats.org/officeDocument/2006/relationships/hyperlink" Target="https://www.youtube.com/watch?v=xqfOH5EA8xo&amp;list=PLQEaRBV9gAFsR15tNo2QLF9d2qc-c018p" TargetMode="External"/><Relationship Id="rId232" Type="http://schemas.openxmlformats.org/officeDocument/2006/relationships/hyperlink" Target="https://www.youtube.com/watch?v=Q75kCaNa35Y&amp;list=PLQEaRBV9gAFsR15tNo2QLF9d2qc-c018p" TargetMode="External"/><Relationship Id="rId233" Type="http://schemas.openxmlformats.org/officeDocument/2006/relationships/hyperlink" Target="https://www.youtube.com/watch?v=zrtVQ1ev_0w&amp;list=PLQEaRBV9gAFsR15tNo2QLF9d2qc-c018p" TargetMode="External"/><Relationship Id="rId234" Type="http://schemas.openxmlformats.org/officeDocument/2006/relationships/hyperlink" Target="https://www.youtube.com/watch?v=mJg9iQZJEpw&amp;list=PLQEaRBV9gAFsR15tNo2QLF9d2qc-c018p" TargetMode="External"/><Relationship Id="rId235" Type="http://schemas.openxmlformats.org/officeDocument/2006/relationships/hyperlink" Target="https://www.youtube.com/watch?v=xTxscoajikw&amp;list=PLQEaRBV9gAFsR15tNo2QLF9d2qc-c018p" TargetMode="External"/><Relationship Id="rId236" Type="http://schemas.openxmlformats.org/officeDocument/2006/relationships/hyperlink" Target="https://www.youtube.com/watch?v=kjETbH63Pco&amp;list=PLQEaRBV9gAFsR15tNo2QLF9d2qc-c018p" TargetMode="External"/><Relationship Id="rId237" Type="http://schemas.openxmlformats.org/officeDocument/2006/relationships/hyperlink" Target="https://www.youtube.com/watch?v=b2HSqC0RGsM&amp;list=PLQEaRBV9gAFsR15tNo2QLF9d2qc-c018p" TargetMode="External"/><Relationship Id="rId238" Type="http://schemas.openxmlformats.org/officeDocument/2006/relationships/hyperlink" Target="https://www.youtube.com/watch?v=fyAW0W526RM&amp;list=PLQEaRBV9gAFsR15tNo2QLF9d2qc-c018p" TargetMode="External"/><Relationship Id="rId239" Type="http://schemas.openxmlformats.org/officeDocument/2006/relationships/hyperlink" Target="https://www.youtube.com/watch?v=cVRdeQFP5IM&amp;list=PLQEaRBV9gAFsR15tNo2QLF9d2qc-c018p" TargetMode="External"/><Relationship Id="rId240" Type="http://schemas.openxmlformats.org/officeDocument/2006/relationships/hyperlink" Target="https://www.youtube.com/watch?v=ZPxJby0GeOQ&amp;list=PLQEaRBV9gAFsR15tNo2QLF9d2qc-c018p" TargetMode="External"/><Relationship Id="rId241" Type="http://schemas.openxmlformats.org/officeDocument/2006/relationships/hyperlink" Target="https://www.youtube.com/watch?v=lrrdN_c0HQ4&amp;list=PLQEaRBV9gAFsR15tNo2QLF9d2qc-c018p" TargetMode="External"/><Relationship Id="rId242" Type="http://schemas.openxmlformats.org/officeDocument/2006/relationships/hyperlink" Target="https://www.youtube.com/watch?v=k9sURAu0xT8&amp;list=PLQEaRBV9gAFsR15tNo2QLF9d2qc-c018p" TargetMode="External"/><Relationship Id="rId243" Type="http://schemas.openxmlformats.org/officeDocument/2006/relationships/hyperlink" Target="https://www.youtube.com/watch?v=EZS19NLnsvc&amp;list=PLQEaRBV9gAFsR15tNo2QLF9d2qc-c018p" TargetMode="External"/><Relationship Id="rId244" Type="http://schemas.openxmlformats.org/officeDocument/2006/relationships/hyperlink" Target="https://www.youtube.com/watch?v=JW6-TCU0iS4&amp;list=PLQEaRBV9gAFsR15tNo2QLF9d2qc-c018p" TargetMode="External"/><Relationship Id="rId245" Type="http://schemas.openxmlformats.org/officeDocument/2006/relationships/hyperlink" Target="https://www.youtube.com/watch?v=ujF2gNsCfBE&amp;list=PLQEaRBV9gAFsR15tNo2QLF9d2qc-c018p" TargetMode="External"/><Relationship Id="rId246" Type="http://schemas.openxmlformats.org/officeDocument/2006/relationships/hyperlink" Target="https://www.youtube.com/watch?v=2nBJPpERul4&amp;list=PLQEaRBV9gAFsR15tNo2QLF9d2qc-c018p" TargetMode="External"/><Relationship Id="rId247" Type="http://schemas.openxmlformats.org/officeDocument/2006/relationships/hyperlink" Target="https://www.youtube.com/watch?v=VPtaTUSaBOM&amp;list=PLQEaRBV9gAFsR15tNo2QLF9d2qc-c018p" TargetMode="External"/><Relationship Id="rId248" Type="http://schemas.openxmlformats.org/officeDocument/2006/relationships/hyperlink" Target="https://www.youtube.com/watch?v=FGN225TiXaE&amp;list=PLQEaRBV9gAFsR15tNo2QLF9d2qc-c018p" TargetMode="External"/><Relationship Id="rId249" Type="http://schemas.openxmlformats.org/officeDocument/2006/relationships/hyperlink" Target="https://www.youtube.com/watch?v=WYpQ1VkXag0&amp;list=PLqleLpAMfxGAdqZeY_4uVQOPCnAjhH-eT" TargetMode="External"/><Relationship Id="rId250" Type="http://schemas.openxmlformats.org/officeDocument/2006/relationships/hyperlink" Target="https://www.youtube.com/watch?v=BznUgu3YPn4&amp;list=PLqleLpAMfxGAdqZeY_4uVQOPCnAjhH-eT" TargetMode="External"/><Relationship Id="rId251" Type="http://schemas.openxmlformats.org/officeDocument/2006/relationships/hyperlink" Target="https://www.youtube.com/watch?v=AwOCJzcq-vw&amp;list=PLqleLpAMfxGAdqZeY_4uVQOPCnAjhH-eT" TargetMode="External"/><Relationship Id="rId252" Type="http://schemas.openxmlformats.org/officeDocument/2006/relationships/hyperlink" Target="https://www.youtube.com/watch?v=V6U4anwVlx8&amp;list=PLqleLpAMfxGAdqZeY_4uVQOPCnAjhH-eT" TargetMode="External"/><Relationship Id="rId253" Type="http://schemas.openxmlformats.org/officeDocument/2006/relationships/hyperlink" Target="https://www.youtube.com/watch?v=YOVicRQ6QKE&amp;list=PLqleLpAMfxGAdqZeY_4uVQOPCnAjhH-eT" TargetMode="External"/><Relationship Id="rId254" Type="http://schemas.openxmlformats.org/officeDocument/2006/relationships/hyperlink" Target="https://www.youtube.com/watch?v=YZYKrG6PzjI&amp;list=PLqleLpAMfxGAdqZeY_4uVQOPCnAjhH-eT" TargetMode="External"/><Relationship Id="rId255" Type="http://schemas.openxmlformats.org/officeDocument/2006/relationships/hyperlink" Target="https://www.youtube.com/watch?v=QxpG_1lv-4k&amp;list=PLqleLpAMfxGAdqZeY_4uVQOPCnAjhH-eT" TargetMode="External"/><Relationship Id="rId256" Type="http://schemas.openxmlformats.org/officeDocument/2006/relationships/hyperlink" Target="https://www.youtube.com/watch?v=gX4TEXQJaTI&amp;list=PLqleLpAMfxGAdqZeY_4uVQOPCnAjhH-eT" TargetMode="External"/><Relationship Id="rId257" Type="http://schemas.openxmlformats.org/officeDocument/2006/relationships/hyperlink" Target="https://www.youtube.com/watch?v=ugagVOu74CA&amp;list=PLqleLpAMfxGAdqZeY_4uVQOPCnAjhH-eT" TargetMode="External"/><Relationship Id="rId258" Type="http://schemas.openxmlformats.org/officeDocument/2006/relationships/hyperlink" Target="https://www.youtube.com/watch?v=hHe33YzSFu0&amp;list=PLqleLpAMfxGAdqZeY_4uVQOPCnAjhH-eT" TargetMode="External"/><Relationship Id="rId259" Type="http://schemas.openxmlformats.org/officeDocument/2006/relationships/hyperlink" Target="https://www.youtube.com/watch?v=TMxg20CkvNw&amp;list=PLqleLpAMfxGAdqZeY_4uVQOPCnAjhH-eT" TargetMode="External"/><Relationship Id="rId260" Type="http://schemas.openxmlformats.org/officeDocument/2006/relationships/hyperlink" Target="https://www.youtube.com/watch?v=Ktc3U54RGwY&amp;list=PLqleLpAMfxGAdqZeY_4uVQOPCnAjhH-eT" TargetMode="External"/><Relationship Id="rId261" Type="http://schemas.openxmlformats.org/officeDocument/2006/relationships/hyperlink" Target="https://www.youtube.com/watch?v=Q3frCkyVC_Q&amp;list=PLqleLpAMfxGAdqZeY_4uVQOPCnAjhH-eT" TargetMode="External"/><Relationship Id="rId262" Type="http://schemas.openxmlformats.org/officeDocument/2006/relationships/hyperlink" Target="https://www.youtube.com/watch?v=CSNyWZxDpXM&amp;list=PLqleLpAMfxGAdqZeY_4uVQOPCnAjhH-eT" TargetMode="External"/><Relationship Id="rId263" Type="http://schemas.openxmlformats.org/officeDocument/2006/relationships/hyperlink" Target="https://www.youtube.com/watch?v=KPqSd6sKNPE&amp;list=PLqleLpAMfxGAdqZeY_4uVQOPCnAjhH-eT" TargetMode="External"/><Relationship Id="rId264" Type="http://schemas.openxmlformats.org/officeDocument/2006/relationships/hyperlink" Target="https://www.youtube.com/watch?v=EC0_QIWAfuk&amp;list=PLqleLpAMfxGAdqZeY_4uVQOPCnAjhH-eT" TargetMode="External"/><Relationship Id="rId265" Type="http://schemas.openxmlformats.org/officeDocument/2006/relationships/hyperlink" Target="https://www.youtube.com/watch?v=LxB3G_i0ws4&amp;list=PLqleLpAMfxGAdqZeY_4uVQOPCnAjhH-eT" TargetMode="External"/><Relationship Id="rId266" Type="http://schemas.openxmlformats.org/officeDocument/2006/relationships/hyperlink" Target="https://www.youtube.com/watch?v=iNsSkROKrJw&amp;list=PLqleLpAMfxGAdqZeY_4uVQOPCnAjhH-eT" TargetMode="External"/><Relationship Id="rId267" Type="http://schemas.openxmlformats.org/officeDocument/2006/relationships/hyperlink" Target="https://www.youtube.com/watch?v=_s2DxPNIdqM&amp;list=PLqleLpAMfxGAdqZeY_4uVQOPCnAjhH-eT" TargetMode="External"/><Relationship Id="rId268" Type="http://schemas.openxmlformats.org/officeDocument/2006/relationships/hyperlink" Target="https://www.youtube.com/watch?v=1WA9pddNZyU&amp;list=PLqleLpAMfxGAdqZeY_4uVQOPCnAjhH-eT" TargetMode="External"/><Relationship Id="rId269" Type="http://schemas.openxmlformats.org/officeDocument/2006/relationships/hyperlink" Target="https://www.youtube.com/watch?v=X7JmjB2ZTPU&amp;list=PLqleLpAMfxGAdqZeY_4uVQOPCnAjhH-eT" TargetMode="External"/><Relationship Id="rId270" Type="http://schemas.openxmlformats.org/officeDocument/2006/relationships/hyperlink" Target="https://www.youtube.com/watch?v=JtrP5Y8Cm60&amp;list=PLqleLpAMfxGAdqZeY_4uVQOPCnAjhH-eT" TargetMode="External"/><Relationship Id="rId271" Type="http://schemas.openxmlformats.org/officeDocument/2006/relationships/hyperlink" Target="https://www.youtube.com/watch?v=PwluCd0drqY&amp;list=PLqleLpAMfxGAdqZeY_4uVQOPCnAjhH-eT" TargetMode="External"/><Relationship Id="rId272" Type="http://schemas.openxmlformats.org/officeDocument/2006/relationships/hyperlink" Target="https://www.youtube.com/watch?v=ZWRE0WuP-jw&amp;list=PLqleLpAMfxGAdqZeY_4uVQOPCnAjhH-eT" TargetMode="External"/><Relationship Id="rId273" Type="http://schemas.openxmlformats.org/officeDocument/2006/relationships/hyperlink" Target="https://www.youtube.com/watch?v=Dbsh9fQ5KCk&amp;list=PLqleLpAMfxGAdqZeY_4uVQOPCnAjhH-eT" TargetMode="External"/><Relationship Id="rId274" Type="http://schemas.openxmlformats.org/officeDocument/2006/relationships/hyperlink" Target="https://www.youtube.com/watch?v=xKu0JL9L12I&amp;list=PLqleLpAMfxGAdqZeY_4uVQOPCnAjhH-eT" TargetMode="External"/><Relationship Id="rId275" Type="http://schemas.openxmlformats.org/officeDocument/2006/relationships/hyperlink" Target="https://www.youtube.com/watch?v=c_NZl5EqtX8&amp;list=PLqleLpAMfxGAdqZeY_4uVQOPCnAjhH-eT" TargetMode="External"/><Relationship Id="rId276" Type="http://schemas.openxmlformats.org/officeDocument/2006/relationships/hyperlink" Target="https://www.youtube.com/watch?v=Pn1psyUu_ic&amp;list=PLqleLpAMfxGAdqZeY_4uVQOPCnAjhH-eT" TargetMode="External"/><Relationship Id="rId277" Type="http://schemas.openxmlformats.org/officeDocument/2006/relationships/hyperlink" Target="https://www.youtube.com/watch?v=sx0D90mJazk&amp;list=PLqleLpAMfxGAdqZeY_4uVQOPCnAjhH-eT" TargetMode="External"/><Relationship Id="rId278" Type="http://schemas.openxmlformats.org/officeDocument/2006/relationships/hyperlink" Target="https://www.youtube.com/watch?v=hh_6HFmB8wA&amp;list=PLqleLpAMfxGAdqZeY_4uVQOPCnAjhH-eT" TargetMode="External"/><Relationship Id="rId279" Type="http://schemas.openxmlformats.org/officeDocument/2006/relationships/hyperlink" Target="https://www.youtube.com/watch?v=NfEwJJhzXqk&amp;list=PLqleLpAMfxGAdqZeY_4uVQOPCnAjhH-eT" TargetMode="External"/><Relationship Id="rId280" Type="http://schemas.openxmlformats.org/officeDocument/2006/relationships/hyperlink" Target="https://www.youtube.com/watch?v=LTC6PIVOtqw&amp;list=PLqleLpAMfxGAdqZeY_4uVQOPCnAjhH-eT" TargetMode="External"/><Relationship Id="rId281" Type="http://schemas.openxmlformats.org/officeDocument/2006/relationships/hyperlink" Target="https://www.youtube.com/watch?v=qZWgeUxQGwA&amp;list=PLqleLpAMfxGAdqZeY_4uVQOPCnAjhH-eT" TargetMode="External"/><Relationship Id="rId282" Type="http://schemas.openxmlformats.org/officeDocument/2006/relationships/hyperlink" Target="https://www.youtube.com/watch?v=69GRzZh1Sdk&amp;list=PLqleLpAMfxGAdqZeY_4uVQOPCnAjhH-eT" TargetMode="External"/><Relationship Id="rId283" Type="http://schemas.openxmlformats.org/officeDocument/2006/relationships/hyperlink" Target="https://www.youtube.com/watch?v=PnHoYeDuj_U&amp;list=PLqleLpAMfxGAdqZeY_4uVQOPCnAjhH-eT" TargetMode="External"/><Relationship Id="rId284" Type="http://schemas.openxmlformats.org/officeDocument/2006/relationships/hyperlink" Target="https://www.youtube.com/watch?v=mE3Tfbz31Gg&amp;list=PLqleLpAMfxGAdqZeY_4uVQOPCnAjhH-eT" TargetMode="External"/><Relationship Id="rId285" Type="http://schemas.openxmlformats.org/officeDocument/2006/relationships/hyperlink" Target="https://www.youtube.com/watch?v=pD206BWxAxc&amp;list=PLqleLpAMfxGAdqZeY_4uVQOPCnAjhH-eT" TargetMode="External"/><Relationship Id="rId286" Type="http://schemas.openxmlformats.org/officeDocument/2006/relationships/hyperlink" Target="https://www.youtube.com/watch?v=RG5uRofeifc&amp;list=PLqleLpAMfxGAdqZeY_4uVQOPCnAjhH-eT" TargetMode="External"/><Relationship Id="rId287" Type="http://schemas.openxmlformats.org/officeDocument/2006/relationships/hyperlink" Target="https://www.youtube.com/watch?v=TtO3iz606VE&amp;list=PLqleLpAMfxGAdqZeY_4uVQOPCnAjhH-eT" TargetMode="External"/><Relationship Id="rId288" Type="http://schemas.openxmlformats.org/officeDocument/2006/relationships/hyperlink" Target="https://www.youtube.com/watch?v=YiD7Nf4tC24&amp;list=PLqleLpAMfxGAdqZeY_4uVQOPCnAjhH-eT" TargetMode="External"/><Relationship Id="rId289" Type="http://schemas.openxmlformats.org/officeDocument/2006/relationships/hyperlink" Target="https://www.youtube.com/watch?v=JXp0-ywIeIY&amp;list=PLqleLpAMfxGAdqZeY_4uVQOPCnAjhH-eT" TargetMode="External"/><Relationship Id="rId290" Type="http://schemas.openxmlformats.org/officeDocument/2006/relationships/hyperlink" Target="https://www.youtube.com/watch?v=PL3ASTPQrMQ&amp;list=PLqleLpAMfxGAdqZeY_4uVQOPCnAjhH-eT" TargetMode="External"/><Relationship Id="rId291" Type="http://schemas.openxmlformats.org/officeDocument/2006/relationships/hyperlink" Target="https://www.youtube.com/watch?v=g5V60x52g-M&amp;list=PLqleLpAMfxGAdqZeY_4uVQOPCnAjhH-eT" TargetMode="External"/><Relationship Id="rId292" Type="http://schemas.openxmlformats.org/officeDocument/2006/relationships/hyperlink" Target="https://www.youtube.com/watch?v=1wtUslesNWw&amp;list=PLqleLpAMfxGAdqZeY_4uVQOPCnAjhH-eT" TargetMode="External"/><Relationship Id="rId293" Type="http://schemas.openxmlformats.org/officeDocument/2006/relationships/hyperlink" Target="https://www.youtube.com/watch?v=CaaF3oL4M84&amp;list=PLqleLpAMfxGAdqZeY_4uVQOPCnAjhH-eT" TargetMode="External"/><Relationship Id="rId294" Type="http://schemas.openxmlformats.org/officeDocument/2006/relationships/hyperlink" Target="https://www.youtube.com/watch?v=-r95HaLrif0&amp;list=PLqleLpAMfxGAdqZeY_4uVQOPCnAjhH-eT" TargetMode="External"/><Relationship Id="rId295" Type="http://schemas.openxmlformats.org/officeDocument/2006/relationships/hyperlink" Target="https://www.youtube.com/watch?v=0CABbethjRU&amp;list=PLqleLpAMfxGAdqZeY_4uVQOPCnAjhH-eT" TargetMode="External"/><Relationship Id="rId296" Type="http://schemas.openxmlformats.org/officeDocument/2006/relationships/hyperlink" Target="https://www.youtube.com/watch?v=ViSsCJy7HH0&amp;list=PLqleLpAMfxGAdqZeY_4uVQOPCnAjhH-eT" TargetMode="External"/><Relationship Id="rId297" Type="http://schemas.openxmlformats.org/officeDocument/2006/relationships/hyperlink" Target="https://www.youtube.com/watch?v=JPp_keFcOzM&amp;list=PLqleLpAMfxGAdqZeY_4uVQOPCnAjhH-eT" TargetMode="External"/><Relationship Id="rId298" Type="http://schemas.openxmlformats.org/officeDocument/2006/relationships/hyperlink" Target="https://www.youtube.com/watch?v=1_ug8nqB_w8&amp;list=PLqleLpAMfxGAdqZeY_4uVQOPCnAjhH-eT" TargetMode="External"/><Relationship Id="rId299" Type="http://schemas.openxmlformats.org/officeDocument/2006/relationships/hyperlink" Target="https://www.youtube.com/watch?v=_R16lTMfXGM&amp;list=PLqleLpAMfxGAdqZeY_4uVQOPCnAjhH-eT" TargetMode="External"/><Relationship Id="rId300" Type="http://schemas.openxmlformats.org/officeDocument/2006/relationships/hyperlink" Target="https://www.youtube.com/watch?v=_ycrr0S_e34&amp;list=PLqleLpAMfxGAdqZeY_4uVQOPCnAjhH-eT" TargetMode="External"/><Relationship Id="rId301" Type="http://schemas.openxmlformats.org/officeDocument/2006/relationships/hyperlink" Target="https://www.youtube.com/watch?v=JXd7y1GJ3dk&amp;list=PLqleLpAMfxGAdqZeY_4uVQOPCnAjhH-eT" TargetMode="External"/><Relationship Id="rId302" Type="http://schemas.openxmlformats.org/officeDocument/2006/relationships/hyperlink" Target="https://www.youtube.com/watch?v=sDxqFHToSwY&amp;list=PLqleLpAMfxGAdqZeY_4uVQOPCnAjhH-eT" TargetMode="External"/><Relationship Id="rId303" Type="http://schemas.openxmlformats.org/officeDocument/2006/relationships/hyperlink" Target="https://www.youtube.com/watch?v=IFKL0MxujsQ&amp;list=PLqleLpAMfxGAdqZeY_4uVQOPCnAjhH-eT" TargetMode="External"/><Relationship Id="rId304" Type="http://schemas.openxmlformats.org/officeDocument/2006/relationships/hyperlink" Target="https://www.youtube.com/watch?v=fZ_B7wIk8AM&amp;list=PLqleLpAMfxGAdqZeY_4uVQOPCnAjhH-eT" TargetMode="External"/><Relationship Id="rId305" Type="http://schemas.openxmlformats.org/officeDocument/2006/relationships/hyperlink" Target="https://www.youtube.com/watch?v=GfH7gW9F3kM&amp;list=PLqleLpAMfxGAdqZeY_4uVQOPCnAjhH-eT" TargetMode="External"/><Relationship Id="rId306" Type="http://schemas.openxmlformats.org/officeDocument/2006/relationships/hyperlink" Target="https://www.youtube.com/watch?v=pzpE_ZhNyD4&amp;list=PLqleLpAMfxGAdqZeY_4uVQOPCnAjhH-eT" TargetMode="External"/><Relationship Id="rId307" Type="http://schemas.openxmlformats.org/officeDocument/2006/relationships/hyperlink" Target="https://www.youtube.com/watch?v=u2JDYgERW1o&amp;list=PLqleLpAMfxGAdqZeY_4uVQOPCnAjhH-eT" TargetMode="External"/><Relationship Id="rId308" Type="http://schemas.openxmlformats.org/officeDocument/2006/relationships/hyperlink" Target="https://www.youtube.com/watch?v=RXQhhZ6C7M0&amp;list=PLqleLpAMfxGAdqZeY_4uVQOPCnAjhH-eT" TargetMode="External"/><Relationship Id="rId309" Type="http://schemas.openxmlformats.org/officeDocument/2006/relationships/hyperlink" Target="https://www.youtube.com/watch?v=zMFIkO9T9xQ&amp;list=PLqleLpAMfxGAdqZeY_4uVQOPCnAjhH-eT" TargetMode="External"/><Relationship Id="rId310" Type="http://schemas.openxmlformats.org/officeDocument/2006/relationships/hyperlink" Target="https://www.youtube.com/watch?v=XgqSXYLvcnE&amp;list=PLqleLpAMfxGAdqZeY_4uVQOPCnAjhH-eT" TargetMode="External"/><Relationship Id="rId311" Type="http://schemas.openxmlformats.org/officeDocument/2006/relationships/hyperlink" Target="https://www.youtube.com/watch?v=ii5mOJSUMt8&amp;list=PLqleLpAMfxGAdqZeY_4uVQOPCnAjhH-eT" TargetMode="External"/><Relationship Id="rId312" Type="http://schemas.openxmlformats.org/officeDocument/2006/relationships/hyperlink" Target="https://www.youtube.com/watch?v=kQHeUwPEQ1U&amp;list=PLqleLpAMfxGAdqZeY_4uVQOPCnAjhH-eT" TargetMode="External"/><Relationship Id="rId313" Type="http://schemas.openxmlformats.org/officeDocument/2006/relationships/hyperlink" Target="https://www.youtube.com/watch?v=Ujt1T1AF_OI&amp;list=PLqleLpAMfxGAdqZeY_4uVQOPCnAjhH-eT" TargetMode="External"/><Relationship Id="rId314" Type="http://schemas.openxmlformats.org/officeDocument/2006/relationships/hyperlink" Target="https://www.youtube.com/watch?v=_yy48mLncZg&amp;list=PLqleLpAMfxGAdqZeY_4uVQOPCnAjhH-eT" TargetMode="External"/><Relationship Id="rId315" Type="http://schemas.openxmlformats.org/officeDocument/2006/relationships/hyperlink" Target="https://www.youtube.com/watch?v=eGixcE1lEwU&amp;list=PLqleLpAMfxGAdqZeY_4uVQOPCnAjhH-eT" TargetMode="External"/><Relationship Id="rId316" Type="http://schemas.openxmlformats.org/officeDocument/2006/relationships/hyperlink" Target="https://www.youtube.com/watch?v=9s4iVCPxxWc&amp;list=PLqleLpAMfxGAdqZeY_4uVQOPCnAjhH-eT" TargetMode="External"/><Relationship Id="rId317" Type="http://schemas.openxmlformats.org/officeDocument/2006/relationships/hyperlink" Target="https://www.youtube.com/watch?v=RwJ9TnGuQCw&amp;list=PLqleLpAMfxGAdqZeY_4uVQOPCnAjhH-eT" TargetMode="External"/><Relationship Id="rId318" Type="http://schemas.openxmlformats.org/officeDocument/2006/relationships/hyperlink" Target="https://www.youtube.com/watch?v=HG3dZC4bu7E&amp;list=PLqleLpAMfxGAdqZeY_4uVQOPCnAjhH-eT" TargetMode="External"/><Relationship Id="rId319" Type="http://schemas.openxmlformats.org/officeDocument/2006/relationships/hyperlink" Target="https://www.youtube.com/watch?v=iNi5jXuBUEw&amp;list=PLqleLpAMfxGAdqZeY_4uVQOPCnAjhH-eT" TargetMode="External"/><Relationship Id="rId320" Type="http://schemas.openxmlformats.org/officeDocument/2006/relationships/hyperlink" Target="https://www.youtube.com/watch?v=z9SVjqQ6PFY&amp;list=PLqleLpAMfxGAdqZeY_4uVQOPCnAjhH-eT" TargetMode="External"/><Relationship Id="rId321" Type="http://schemas.openxmlformats.org/officeDocument/2006/relationships/hyperlink" Target="https://www.youtube.com/watch?v=WtsV2pLx_ok&amp;list=PLqleLpAMfxGAdqZeY_4uVQOPCnAjhH-eT" TargetMode="External"/><Relationship Id="rId322" Type="http://schemas.openxmlformats.org/officeDocument/2006/relationships/hyperlink" Target="https://www.youtube.com/watch?v=OVunZ4LI3E4&amp;list=PLqleLpAMfxGAdqZeY_4uVQOPCnAjhH-eT" TargetMode="External"/><Relationship Id="rId323" Type="http://schemas.openxmlformats.org/officeDocument/2006/relationships/hyperlink" Target="https://www.youtube.com/watch?v=Bn85ao1vvDM&amp;list=PLqleLpAMfxGAdqZeY_4uVQOPCnAjhH-eT" TargetMode="External"/><Relationship Id="rId324" Type="http://schemas.openxmlformats.org/officeDocument/2006/relationships/hyperlink" Target="https://www.youtube.com/watch?v=6f7EzLuvMnI&amp;list=PLqleLpAMfxGAdqZeY_4uVQOPCnAjhH-eT" TargetMode="External"/><Relationship Id="rId325" Type="http://schemas.openxmlformats.org/officeDocument/2006/relationships/hyperlink" Target="https://www.youtube.com/watch?v=KzXze9iL9hc&amp;list=PLqleLpAMfxGAdqZeY_4uVQOPCnAjhH-eT" TargetMode="External"/><Relationship Id="rId326" Type="http://schemas.openxmlformats.org/officeDocument/2006/relationships/hyperlink" Target="https://www.youtube.com/watch?v=kWc5Z24K5Kc&amp;list=PLqleLpAMfxGAdqZeY_4uVQOPCnAjhH-eT" TargetMode="External"/><Relationship Id="rId327" Type="http://schemas.openxmlformats.org/officeDocument/2006/relationships/hyperlink" Target="https://www.youtube.com/watch?v=r34gVhpLZ9w&amp;list=PLqleLpAMfxGAdqZeY_4uVQOPCnAjhH-eT" TargetMode="External"/><Relationship Id="rId328" Type="http://schemas.openxmlformats.org/officeDocument/2006/relationships/hyperlink" Target="https://www.youtube.com/watch?v=LLbZlIrCprQ&amp;list=PLqleLpAMfxGAdqZeY_4uVQOPCnAjhH-eT" TargetMode="External"/><Relationship Id="rId329" Type="http://schemas.openxmlformats.org/officeDocument/2006/relationships/hyperlink" Target="https://www.youtube.com/watch?v=VIa3W39YtdA&amp;list=PLqleLpAMfxGAdqZeY_4uVQOPCnAjhH-eT" TargetMode="External"/><Relationship Id="rId330" Type="http://schemas.openxmlformats.org/officeDocument/2006/relationships/hyperlink" Target="https://www.youtube.com/watch?v=YXz9_BydgM0&amp;list=PLqleLpAMfxGAdqZeY_4uVQOPCnAjhH-eT" TargetMode="External"/><Relationship Id="rId331" Type="http://schemas.openxmlformats.org/officeDocument/2006/relationships/hyperlink" Target="https://www.youtube.com/watch?v=V-YvkZXsieU&amp;list=PLqleLpAMfxGAdqZeY_4uVQOPCnAjhH-eT" TargetMode="External"/><Relationship Id="rId332" Type="http://schemas.openxmlformats.org/officeDocument/2006/relationships/hyperlink" Target="https://www.youtube.com/watch?v=CTA0ohuFqDc&amp;list=PLqleLpAMfxGAdqZeY_4uVQOPCnAjhH-eT" TargetMode="External"/><Relationship Id="rId333" Type="http://schemas.openxmlformats.org/officeDocument/2006/relationships/hyperlink" Target="https://www.youtube.com/watch?v=I0XXg9pt4_U&amp;list=PLqleLpAMfxGAdqZeY_4uVQOPCnAjhH-eT" TargetMode="External"/><Relationship Id="rId334" Type="http://schemas.openxmlformats.org/officeDocument/2006/relationships/hyperlink" Target="https://www.youtube.com/watch?v=TqcGTx-L3wY&amp;list=PLqleLpAMfxGAdqZeY_4uVQOPCnAjhH-eT" TargetMode="External"/><Relationship Id="rId335" Type="http://schemas.openxmlformats.org/officeDocument/2006/relationships/hyperlink" Target="https://www.youtube.com/watch?v=gEsoTM51eyE&amp;list=PLqleLpAMfxGAdqZeY_4uVQOPCnAjhH-eT" TargetMode="External"/><Relationship Id="rId336" Type="http://schemas.openxmlformats.org/officeDocument/2006/relationships/hyperlink" Target="https://www.youtube.com/watch?v=uQHPYakSKI4&amp;list=PLqleLpAMfxGAdqZeY_4uVQOPCnAjhH-eT" TargetMode="External"/><Relationship Id="rId337" Type="http://schemas.openxmlformats.org/officeDocument/2006/relationships/hyperlink" Target="https://www.youtube.com/watch?v=XYEYcz2oXtE&amp;list=PLqleLpAMfxGAdqZeY_4uVQOPCnAjhH-eT" TargetMode="External"/><Relationship Id="rId338" Type="http://schemas.openxmlformats.org/officeDocument/2006/relationships/hyperlink" Target="https://www.youtube.com/watch?v=X9GRfMBkbVA&amp;list=PLqleLpAMfxGAdqZeY_4uVQOPCnAjhH-eT" TargetMode="External"/><Relationship Id="rId339" Type="http://schemas.openxmlformats.org/officeDocument/2006/relationships/hyperlink" Target="https://www.youtube.com/watch?v=_udey-r43W0&amp;list=PLqleLpAMfxGAdqZeY_4uVQOPCnAjhH-eT" TargetMode="External"/><Relationship Id="rId340" Type="http://schemas.openxmlformats.org/officeDocument/2006/relationships/hyperlink" Target="https://www.youtube.com/watch?v=7zwevuymtfU&amp;list=PLqleLpAMfxGAdqZeY_4uVQOPCnAjhH-eT" TargetMode="External"/><Relationship Id="rId341" Type="http://schemas.openxmlformats.org/officeDocument/2006/relationships/hyperlink" Target="https://www.youtube.com/watch?v=uD-cvyTztwA&amp;list=PLqleLpAMfxGAdqZeY_4uVQOPCnAjhH-eT" TargetMode="External"/><Relationship Id="rId342" Type="http://schemas.openxmlformats.org/officeDocument/2006/relationships/hyperlink" Target="https://www.youtube.com/watch?v=ZV6a3lONbLM&amp;list=PLqleLpAMfxGAdqZeY_4uVQOPCnAjhH-eT" TargetMode="External"/><Relationship Id="rId343" Type="http://schemas.openxmlformats.org/officeDocument/2006/relationships/hyperlink" Target="https://www.youtube.com/watch?v=XpusGJ9RcoU&amp;list=PLqleLpAMfxGAdqZeY_4uVQOPCnAjhH-eT" TargetMode="External"/><Relationship Id="rId344" Type="http://schemas.openxmlformats.org/officeDocument/2006/relationships/hyperlink" Target="https://www.youtube.com/watch?v=lRI7JQVKXeU&amp;list=PLqleLpAMfxGAdqZeY_4uVQOPCnAjhH-eT" TargetMode="External"/><Relationship Id="rId345" Type="http://schemas.openxmlformats.org/officeDocument/2006/relationships/hyperlink" Target="https://www.youtube.com/watch?v=T_oW-5D6Q2A&amp;list=PLqleLpAMfxGAdqZeY_4uVQOPCnAjhH-eT" TargetMode="External"/><Relationship Id="rId346" Type="http://schemas.openxmlformats.org/officeDocument/2006/relationships/hyperlink" Target="https://www.youtube.com/watch?v=lTEdl3ag9po&amp;list=PLqleLpAMfxGAdqZeY_4uVQOPCnAjhH-eT" TargetMode="External"/><Relationship Id="rId347" Type="http://schemas.openxmlformats.org/officeDocument/2006/relationships/hyperlink" Target="https://www.youtube.com/watch?v=1z5Xso0HNFY&amp;list=PLqleLpAMfxGAdqZeY_4uVQOPCnAjhH-eT" TargetMode="External"/><Relationship Id="rId348" Type="http://schemas.openxmlformats.org/officeDocument/2006/relationships/hyperlink" Target="https://www.youtube.com/watch?v=KJ5n7hHd8Mw&amp;list=PLqleLpAMfxGAdqZeY_4uVQOPCnAjhH-eT" TargetMode="External"/><Relationship Id="rId349" Type="http://schemas.openxmlformats.org/officeDocument/2006/relationships/hyperlink" Target="https://www.youtube.com/watch?v=kxe9pc-qrV8&amp;list=PLqleLpAMfxGAdqZeY_4uVQOPCnAjhH-eT" TargetMode="External"/><Relationship Id="rId350" Type="http://schemas.openxmlformats.org/officeDocument/2006/relationships/hyperlink" Target="https://www.youtube.com/watch?v=CmRh0qq3M6s&amp;list=PLqleLpAMfxGAdqZeY_4uVQOPCnAjhH-eT" TargetMode="External"/><Relationship Id="rId351" Type="http://schemas.openxmlformats.org/officeDocument/2006/relationships/hyperlink" Target="https://www.youtube.com/watch?v=3pktUBVI6bk&amp;list=PLqleLpAMfxGAdqZeY_4uVQOPCnAjhH-eT" TargetMode="External"/><Relationship Id="rId352" Type="http://schemas.openxmlformats.org/officeDocument/2006/relationships/hyperlink" Target="https://www.youtube.com/watch?v=_TQGJqxg3-8&amp;list=PLqleLpAMfxGAdqZeY_4uVQOPCnAjhH-eT" TargetMode="External"/><Relationship Id="rId353" Type="http://schemas.openxmlformats.org/officeDocument/2006/relationships/hyperlink" Target="https://www.youtube.com/watch?v=Yw_WIZzXrlQ&amp;list=PLqleLpAMfxGAdqZeY_4uVQOPCnAjhH-eT" TargetMode="External"/><Relationship Id="rId354" Type="http://schemas.openxmlformats.org/officeDocument/2006/relationships/hyperlink" Target="https://www.youtube.com/watch?v=cxgtid0nO-c&amp;list=PLqleLpAMfxGAdqZeY_4uVQOPCnAjhH-eT" TargetMode="External"/><Relationship Id="rId355" Type="http://schemas.openxmlformats.org/officeDocument/2006/relationships/hyperlink" Target="https://www.youtube.com/watch?v=JD8wDJSolSM&amp;list=PLqleLpAMfxGAdqZeY_4uVQOPCnAjhH-eT" TargetMode="External"/><Relationship Id="rId356" Type="http://schemas.openxmlformats.org/officeDocument/2006/relationships/hyperlink" Target="https://www.youtube.com/watch?v=uQwo6-zOR5g&amp;list=PLqleLpAMfxGAdqZeY_4uVQOPCnAjhH-eT" TargetMode="External"/><Relationship Id="rId357" Type="http://schemas.openxmlformats.org/officeDocument/2006/relationships/hyperlink" Target="https://www.youtube.com/watch?v=aCQuI8ew4gM&amp;list=PLqleLpAMfxGAdqZeY_4uVQOPCnAjhH-eT" TargetMode="External"/><Relationship Id="rId358" Type="http://schemas.openxmlformats.org/officeDocument/2006/relationships/hyperlink" Target="https://www.youtube.com/watch?v=e7AxwKEwo8I&amp;list=PLqleLpAMfxGAdqZeY_4uVQOPCnAjhH-eT" TargetMode="External"/><Relationship Id="rId359" Type="http://schemas.openxmlformats.org/officeDocument/2006/relationships/hyperlink" Target="https://www.youtube.com/watch?v=FsSpkcsTXyY&amp;list=PLqleLpAMfxGAdqZeY_4uVQOPCnAjhH-eT" TargetMode="External"/><Relationship Id="rId360" Type="http://schemas.openxmlformats.org/officeDocument/2006/relationships/hyperlink" Target="https://www.youtube.com/watch?v=EH6xmPq1sYQ&amp;list=PLqleLpAMfxGAdqZeY_4uVQOPCnAjhH-eT" TargetMode="External"/><Relationship Id="rId361" Type="http://schemas.openxmlformats.org/officeDocument/2006/relationships/hyperlink" Target="https://www.youtube.com/watch?v=UGm5lEJmN6g&amp;list=PLqleLpAMfxGAdqZeY_4uVQOPCnAjhH-eT" TargetMode="External"/><Relationship Id="rId362" Type="http://schemas.openxmlformats.org/officeDocument/2006/relationships/hyperlink" Target="https://www.youtube.com/watch?v=0Gv3qySYKF0&amp;list=PLqleLpAMfxGAdqZeY_4uVQOPCnAjhH-eT" TargetMode="External"/><Relationship Id="rId363" Type="http://schemas.openxmlformats.org/officeDocument/2006/relationships/hyperlink" Target="https://www.youtube.com/watch?v=mhirNWmYxWM&amp;list=PLqleLpAMfxGAdqZeY_4uVQOPCnAjhH-eT" TargetMode="External"/><Relationship Id="rId364" Type="http://schemas.openxmlformats.org/officeDocument/2006/relationships/hyperlink" Target="https://www.youtube.com/watch?v=vd2oMwCSud0&amp;list=PLqleLpAMfxGAdqZeY_4uVQOPCnAjhH-eT" TargetMode="External"/><Relationship Id="rId365" Type="http://schemas.openxmlformats.org/officeDocument/2006/relationships/hyperlink" Target="https://www.youtube.com/watch?v=smSF-guG9uc&amp;list=PLqleLpAMfxGAdqZeY_4uVQOPCnAjhH-eT" TargetMode="External"/><Relationship Id="rId366" Type="http://schemas.openxmlformats.org/officeDocument/2006/relationships/hyperlink" Target="https://www.youtube.com/watch?v=7mj_shWCb64&amp;list=PLqleLpAMfxGAdqZeY_4uVQOPCnAjhH-eT" TargetMode="External"/><Relationship Id="rId367" Type="http://schemas.openxmlformats.org/officeDocument/2006/relationships/hyperlink" Target="https://www.youtube.com/watch?v=pKnmfhiZZ-c&amp;list=PLqleLpAMfxGAdqZeY_4uVQOPCnAjhH-eT" TargetMode="External"/><Relationship Id="rId368" Type="http://schemas.openxmlformats.org/officeDocument/2006/relationships/hyperlink" Target="https://www.youtube.com/watch?v=VVL-2pyvvt4&amp;list=PLqleLpAMfxGAdqZeY_4uVQOPCnAjhH-eT" TargetMode="External"/><Relationship Id="rId369" Type="http://schemas.openxmlformats.org/officeDocument/2006/relationships/hyperlink" Target="https://www.youtube.com/watch?v=7AanUxN-NzI&amp;list=PLqleLpAMfxGAdqZeY_4uVQOPCnAjhH-eT" TargetMode="External"/><Relationship Id="rId370" Type="http://schemas.openxmlformats.org/officeDocument/2006/relationships/hyperlink" Target="https://www.youtube.com/watch?v=Cl4qT2hErZ8&amp;list=PLqleLpAMfxGAdqZeY_4uVQOPCnAjhH-eT" TargetMode="External"/><Relationship Id="rId371" Type="http://schemas.openxmlformats.org/officeDocument/2006/relationships/hyperlink" Target="https://www.youtube.com/watch?v=CrE3JgYNVzE&amp;list=PLqleLpAMfxGAdqZeY_4uVQOPCnAjhH-eT" TargetMode="External"/><Relationship Id="rId372" Type="http://schemas.openxmlformats.org/officeDocument/2006/relationships/hyperlink" Target="https://www.youtube.com/watch?v=yLaYW7dmsfo&amp;list=PLqleLpAMfxGAdqZeY_4uVQOPCnAjhH-eT" TargetMode="External"/><Relationship Id="rId373" Type="http://schemas.openxmlformats.org/officeDocument/2006/relationships/hyperlink" Target="https://www.youtube.com/watch?v=-bGIh-EPnt0&amp;list=PLqleLpAMfxGAdqZeY_4uVQOPCnAjhH-eT" TargetMode="External"/><Relationship Id="rId374" Type="http://schemas.openxmlformats.org/officeDocument/2006/relationships/hyperlink" Target="https://www.youtube.com/watch?v=co88Om5U4bQ&amp;list=PLqleLpAMfxGAdqZeY_4uVQOPCnAjhH-eT" TargetMode="External"/><Relationship Id="rId375" Type="http://schemas.openxmlformats.org/officeDocument/2006/relationships/hyperlink" Target="https://www.youtube.com/watch?v=-Br5SVB7bNQ&amp;list=PLqleLpAMfxGAdqZeY_4uVQOPCnAjhH-eT" TargetMode="External"/><Relationship Id="rId376" Type="http://schemas.openxmlformats.org/officeDocument/2006/relationships/hyperlink" Target="https://www.youtube.com/watch?v=sCdgYAcQD5o&amp;list=PLqleLpAMfxGAdqZeY_4uVQOPCnAjhH-eT" TargetMode="External"/><Relationship Id="rId377" Type="http://schemas.openxmlformats.org/officeDocument/2006/relationships/hyperlink" Target="https://www.youtube.com/watch?v=K1jjgg3x4nM&amp;list=PLqleLpAMfxGAdqZeY_4uVQOPCnAjhH-eT" TargetMode="External"/><Relationship Id="rId378" Type="http://schemas.openxmlformats.org/officeDocument/2006/relationships/hyperlink" Target="https://www.youtube.com/watch?v=UeifqEnZCpc&amp;list=PLqleLpAMfxGAdqZeY_4uVQOPCnAjhH-eT" TargetMode="External"/><Relationship Id="rId379" Type="http://schemas.openxmlformats.org/officeDocument/2006/relationships/hyperlink" Target="https://www.youtube.com/watch?v=iJNCZ9m_7vk&amp;list=PLqleLpAMfxGAdqZeY_4uVQOPCnAjhH-eT" TargetMode="External"/><Relationship Id="rId380" Type="http://schemas.openxmlformats.org/officeDocument/2006/relationships/hyperlink" Target="https://www.youtube.com/watch?v=ewDNnRNIvf4&amp;list=PLqleLpAMfxGAdqZeY_4uVQOPCnAjhH-eT" TargetMode="External"/><Relationship Id="rId381" Type="http://schemas.openxmlformats.org/officeDocument/2006/relationships/hyperlink" Target="https://www.youtube.com/watch?v=AEo4KgwKYoU&amp;list=PLqleLpAMfxGAdqZeY_4uVQOPCnAjhH-eT" TargetMode="External"/><Relationship Id="rId382" Type="http://schemas.openxmlformats.org/officeDocument/2006/relationships/hyperlink" Target="https://www.youtube.com/watch?v=L677QCBCuWk&amp;list=PLqleLpAMfxGAdqZeY_4uVQOPCnAjhH-eT" TargetMode="External"/><Relationship Id="rId383" Type="http://schemas.openxmlformats.org/officeDocument/2006/relationships/hyperlink" Target="https://www.youtube.com/watch?v=Y1lP07CFP0Y&amp;list=PLqleLpAMfxGAdqZeY_4uVQOPCnAjhH-eT" TargetMode="External"/><Relationship Id="rId384" Type="http://schemas.openxmlformats.org/officeDocument/2006/relationships/hyperlink" Target="https://www.youtube.com/watch?v=RcHkG_1XDps&amp;list=PLqleLpAMfxGAdqZeY_4uVQOPCnAjhH-eT" TargetMode="External"/><Relationship Id="rId385" Type="http://schemas.openxmlformats.org/officeDocument/2006/relationships/hyperlink" Target="https://www.youtube.com/watch?v=GEnp3oJ7uSw&amp;list=PLqleLpAMfxGAdqZeY_4uVQOPCnAjhH-eT" TargetMode="External"/><Relationship Id="rId386" Type="http://schemas.openxmlformats.org/officeDocument/2006/relationships/hyperlink" Target="https://www.youtube.com/watch?v=CBfbfQ5Pbyg&amp;list=PLqleLpAMfxGAdqZeY_4uVQOPCnAjhH-eT" TargetMode="External"/><Relationship Id="rId387" Type="http://schemas.openxmlformats.org/officeDocument/2006/relationships/hyperlink" Target="https://www.youtube.com/watch?v=2TXdzKXIYww&amp;list=PLqleLpAMfxGAdqZeY_4uVQOPCnAjhH-eT" TargetMode="External"/><Relationship Id="rId388" Type="http://schemas.openxmlformats.org/officeDocument/2006/relationships/hyperlink" Target="https://www.youtube.com/watch?v=-jfoUjCylrg&amp;list=PLqleLpAMfxGAdqZeY_4uVQOPCnAjhH-eT" TargetMode="External"/><Relationship Id="rId389" Type="http://schemas.openxmlformats.org/officeDocument/2006/relationships/hyperlink" Target="https://www.youtube.com/watch?v=oCtNZtP-6zk&amp;list=PLqleLpAMfxGAdqZeY_4uVQOPCnAjhH-eT" TargetMode="External"/><Relationship Id="rId390" Type="http://schemas.openxmlformats.org/officeDocument/2006/relationships/hyperlink" Target="https://www.youtube.com/watch?v=MuTmNsGKGDE&amp;list=PLqleLpAMfxGAdqZeY_4uVQOPCnAjhH-eT" TargetMode="External"/><Relationship Id="rId391" Type="http://schemas.openxmlformats.org/officeDocument/2006/relationships/hyperlink" Target="https://www.youtube.com/watch?v=f7XJykrGQDo&amp;list=PLqleLpAMfxGAdqZeY_4uVQOPCnAjhH-eT" TargetMode="External"/><Relationship Id="rId392" Type="http://schemas.openxmlformats.org/officeDocument/2006/relationships/hyperlink" Target="https://www.youtube.com/watch?v=sQavCfVF60A&amp;list=PLqleLpAMfxGAdqZeY_4uVQOPCnAjhH-eT" TargetMode="External"/><Relationship Id="rId393" Type="http://schemas.openxmlformats.org/officeDocument/2006/relationships/hyperlink" Target="https://www.youtube.com/watch?v=hdym0XxSxPA&amp;list=PLqleLpAMfxGAdqZeY_4uVQOPCnAjhH-eT" TargetMode="External"/><Relationship Id="rId394" Type="http://schemas.openxmlformats.org/officeDocument/2006/relationships/hyperlink" Target="https://www.youtube.com/watch?v=SrZbKH9zMZM&amp;list=PLqleLpAMfxGAdqZeY_4uVQOPCnAjhH-eT" TargetMode="External"/><Relationship Id="rId395" Type="http://schemas.openxmlformats.org/officeDocument/2006/relationships/hyperlink" Target="https://www.youtube.com/watch?v=52VjG4qQOYQ&amp;list=PLqleLpAMfxGAdqZeY_4uVQOPCnAjhH-eT" TargetMode="External"/><Relationship Id="rId396" Type="http://schemas.openxmlformats.org/officeDocument/2006/relationships/hyperlink" Target="https://www.youtube.com/watch?v=-rxmnlI4oKo&amp;list=PLqleLpAMfxGAdqZeY_4uVQOPCnAjhH-eT" TargetMode="External"/><Relationship Id="rId397" Type="http://schemas.openxmlformats.org/officeDocument/2006/relationships/hyperlink" Target="https://www.youtube.com/watch?v=VIaTJFCXE1Q&amp;list=PLqleLpAMfxGAdqZeY_4uVQOPCnAjhH-eT" TargetMode="External"/><Relationship Id="rId398" Type="http://schemas.openxmlformats.org/officeDocument/2006/relationships/hyperlink" Target="https://www.youtube.com/watch?v=zQv8rD_w5HI&amp;list=PLqleLpAMfxGAdqZeY_4uVQOPCnAjhH-eT" TargetMode="External"/><Relationship Id="rId399" Type="http://schemas.openxmlformats.org/officeDocument/2006/relationships/hyperlink" Target="https://www.youtube.com/watch?v=KcdgiEbnglY&amp;list=PLqleLpAMfxGAdqZeY_4uVQOPCnAjhH-eT" TargetMode="External"/><Relationship Id="rId400" Type="http://schemas.openxmlformats.org/officeDocument/2006/relationships/hyperlink" Target="https://www.youtube.com/watch?v=V7SB1JFekgc&amp;list=PLqleLpAMfxGAdqZeY_4uVQOPCnAjhH-eT" TargetMode="External"/><Relationship Id="rId401" Type="http://schemas.openxmlformats.org/officeDocument/2006/relationships/hyperlink" Target="https://www.youtube.com/watch?v=SyKDWL5ri8M&amp;list=PLqleLpAMfxGAdqZeY_4uVQOPCnAjhH-eT" TargetMode="External"/><Relationship Id="rId402" Type="http://schemas.openxmlformats.org/officeDocument/2006/relationships/hyperlink" Target="https://www.youtube.com/watch?v=3JmMK-HvYJU&amp;list=PLqleLpAMfxGAdqZeY_4uVQOPCnAjhH-eT" TargetMode="External"/><Relationship Id="rId403" Type="http://schemas.openxmlformats.org/officeDocument/2006/relationships/hyperlink" Target="https://www.youtube.com/watch?v=QRCWc07_PDE&amp;list=PLqleLpAMfxGAdqZeY_4uVQOPCnAjhH-eT" TargetMode="External"/><Relationship Id="rId404" Type="http://schemas.openxmlformats.org/officeDocument/2006/relationships/hyperlink" Target="https://www.youtube.com/watch?v=Cd-qf7XOO88&amp;list=PLqleLpAMfxGAdqZeY_4uVQOPCnAjhH-eT" TargetMode="External"/><Relationship Id="rId405" Type="http://schemas.openxmlformats.org/officeDocument/2006/relationships/hyperlink" Target="https://www.youtube.com/watch?v=FKJVe0xG_Ik&amp;list=PLqleLpAMfxGAdqZeY_4uVQOPCnAjhH-eT" TargetMode="External"/><Relationship Id="rId406" Type="http://schemas.openxmlformats.org/officeDocument/2006/relationships/hyperlink" Target="https://www.youtube.com/watch?v=dCATHDwcOSE&amp;list=PLqleLpAMfxGAdqZeY_4uVQOPCnAjhH-eT" TargetMode="External"/><Relationship Id="rId407" Type="http://schemas.openxmlformats.org/officeDocument/2006/relationships/hyperlink" Target="https://www.youtube.com/watch?v=kHBji-fom6k&amp;list=PLqleLpAMfxGAdqZeY_4uVQOPCnAjhH-eT" TargetMode="External"/><Relationship Id="rId408" Type="http://schemas.openxmlformats.org/officeDocument/2006/relationships/hyperlink" Target="https://www.youtube.com/watch?v=7w9COsroiyQ&amp;list=PLqleLpAMfxGAdqZeY_4uVQOPCnAjhH-eT" TargetMode="External"/><Relationship Id="rId409" Type="http://schemas.openxmlformats.org/officeDocument/2006/relationships/hyperlink" Target="https://www.youtube.com/watch?v=nESVub5Pn78&amp;list=PLqleLpAMfxGAdqZeY_4uVQOPCnAjhH-eT" TargetMode="External"/><Relationship Id="rId410" Type="http://schemas.openxmlformats.org/officeDocument/2006/relationships/hyperlink" Target="https://www.youtube.com/watch?v=sSdrgWkGUzU&amp;list=PLqleLpAMfxGAdqZeY_4uVQOPCnAjhH-eT" TargetMode="External"/><Relationship Id="rId411" Type="http://schemas.openxmlformats.org/officeDocument/2006/relationships/hyperlink" Target="https://www.youtube.com/watch?v=_FrzZO2KElc&amp;list=PLqleLpAMfxGAdqZeY_4uVQOPCnAjhH-eT" TargetMode="External"/><Relationship Id="rId412" Type="http://schemas.openxmlformats.org/officeDocument/2006/relationships/hyperlink" Target="https://www.youtube.com/watch?v=YpHDkdkKQgE&amp;list=PLqleLpAMfxGAdqZeY_4uVQOPCnAjhH-eT" TargetMode="External"/><Relationship Id="rId413" Type="http://schemas.openxmlformats.org/officeDocument/2006/relationships/hyperlink" Target="https://www.youtube.com/watch?v=-uZMNzdO2gU&amp;list=PLqleLpAMfxGAdqZeY_4uVQOPCnAjhH-eT" TargetMode="External"/><Relationship Id="rId414" Type="http://schemas.openxmlformats.org/officeDocument/2006/relationships/hyperlink" Target="https://www.youtube.com/watch?v=fYXtsuSogqc&amp;list=PLqleLpAMfxGAdqZeY_4uVQOPCnAjhH-eT" TargetMode="External"/><Relationship Id="rId415" Type="http://schemas.openxmlformats.org/officeDocument/2006/relationships/hyperlink" Target="https://www.youtube.com/watch?v=i9llT4A43hg&amp;list=PLqleLpAMfxGAdqZeY_4uVQOPCnAjhH-eT" TargetMode="External"/><Relationship Id="rId416" Type="http://schemas.openxmlformats.org/officeDocument/2006/relationships/hyperlink" Target="https://www.youtube.com/watch?v=V-UpdRjczqM&amp;list=PLqleLpAMfxGAdqZeY_4uVQOPCnAjhH-eT" TargetMode="External"/><Relationship Id="rId417" Type="http://schemas.openxmlformats.org/officeDocument/2006/relationships/hyperlink" Target="https://www.youtube.com/watch?v=8aaAuD1rDnU&amp;list=PLqleLpAMfxGAdqZeY_4uVQOPCnAjhH-eT" TargetMode="External"/><Relationship Id="rId418" Type="http://schemas.openxmlformats.org/officeDocument/2006/relationships/hyperlink" Target="https://www.youtube.com/watch?v=DVE6wfYfED4&amp;list=PLqleLpAMfxGAdqZeY_4uVQOPCnAjhH-eT" TargetMode="External"/><Relationship Id="rId419" Type="http://schemas.openxmlformats.org/officeDocument/2006/relationships/hyperlink" Target="https://www.youtube.com/watch?v=BH3bP6ZxnCM&amp;list=PLqleLpAMfxGAdqZeY_4uVQOPCnAjhH-eT" TargetMode="External"/><Relationship Id="rId420" Type="http://schemas.openxmlformats.org/officeDocument/2006/relationships/hyperlink" Target="https://www.youtube.com/watch?v=3QZcjF8VGJY&amp;list=PLqleLpAMfxGAdqZeY_4uVQOPCnAjhH-eT" TargetMode="External"/><Relationship Id="rId421" Type="http://schemas.openxmlformats.org/officeDocument/2006/relationships/hyperlink" Target="https://www.youtube.com/watch?v=bxcZ7cXbDI0&amp;list=PLqleLpAMfxGAdqZeY_4uVQOPCnAjhH-eT" TargetMode="External"/><Relationship Id="rId422" Type="http://schemas.openxmlformats.org/officeDocument/2006/relationships/hyperlink" Target="https://www.youtube.com/watch?v=kgYu93j0EpQ&amp;list=PLqleLpAMfxGAdqZeY_4uVQOPCnAjhH-eT" TargetMode="External"/><Relationship Id="rId423" Type="http://schemas.openxmlformats.org/officeDocument/2006/relationships/hyperlink" Target="https://www.youtube.com/watch?v=aAkatKJkjYs&amp;list=PLqleLpAMfxGAdqZeY_4uVQOPCnAjhH-eT" TargetMode="External"/><Relationship Id="rId424" Type="http://schemas.openxmlformats.org/officeDocument/2006/relationships/hyperlink" Target="https://www.youtube.com/watch?v=9PmaIrnDOhI&amp;list=PLqleLpAMfxGAdqZeY_4uVQOPCnAjhH-eT" TargetMode="External"/><Relationship Id="rId425" Type="http://schemas.openxmlformats.org/officeDocument/2006/relationships/hyperlink" Target="https://www.youtube.com/watch?v=PmbnVy6p3mE&amp;list=PLqleLpAMfxGAdqZeY_4uVQOPCnAjhH-eT" TargetMode="External"/><Relationship Id="rId426" Type="http://schemas.openxmlformats.org/officeDocument/2006/relationships/hyperlink" Target="https://www.youtube.com/watch?v=BjnVmS1gl9I&amp;list=PLqleLpAMfxGAdqZeY_4uVQOPCnAjhH-eT" TargetMode="External"/><Relationship Id="rId427" Type="http://schemas.openxmlformats.org/officeDocument/2006/relationships/hyperlink" Target="https://www.youtube.com/watch?v=vCJg9oD0fHQ&amp;list=PLqleLpAMfxGAdqZeY_4uVQOPCnAjhH-eT" TargetMode="External"/><Relationship Id="rId428" Type="http://schemas.openxmlformats.org/officeDocument/2006/relationships/hyperlink" Target="https://www.youtube.com/watch?v=xjdY3BgokX4&amp;list=PLqleLpAMfxGAdqZeY_4uVQOPCnAjhH-eT" TargetMode="External"/><Relationship Id="rId429" Type="http://schemas.openxmlformats.org/officeDocument/2006/relationships/hyperlink" Target="https://www.youtube.com/watch?v=g_sBqtw1yh8&amp;list=PLqleLpAMfxGAdqZeY_4uVQOPCnAjhH-eT" TargetMode="External"/><Relationship Id="rId430" Type="http://schemas.openxmlformats.org/officeDocument/2006/relationships/hyperlink" Target="https://www.youtube.com/watch?v=nY37l7NTiII&amp;list=PLqleLpAMfxGAdqZeY_4uVQOPCnAjhH-eT" TargetMode="External"/><Relationship Id="rId431" Type="http://schemas.openxmlformats.org/officeDocument/2006/relationships/hyperlink" Target="https://www.youtube.com/watch?v=4k4zrw_Ynzw&amp;list=PLqleLpAMfxGAdqZeY_4uVQOPCnAjhH-eT" TargetMode="External"/><Relationship Id="rId432" Type="http://schemas.openxmlformats.org/officeDocument/2006/relationships/hyperlink" Target="https://www.youtube.com/watch?v=5O8Wca2eQMg&amp;list=PLqleLpAMfxGAdqZeY_4uVQOPCnAjhH-eT" TargetMode="External"/><Relationship Id="rId433" Type="http://schemas.openxmlformats.org/officeDocument/2006/relationships/hyperlink" Target="https://www.youtube.com/watch?v=9B0Miy4_o8o&amp;list=PLqleLpAMfxGAdqZeY_4uVQOPCnAjhH-eT" TargetMode="External"/><Relationship Id="rId434" Type="http://schemas.openxmlformats.org/officeDocument/2006/relationships/hyperlink" Target="https://www.youtube.com/watch?v=1YCPyfLIo2o&amp;list=PLqleLpAMfxGAdqZeY_4uVQOPCnAjhH-eT" TargetMode="External"/><Relationship Id="rId435" Type="http://schemas.openxmlformats.org/officeDocument/2006/relationships/hyperlink" Target="https://www.youtube.com/watch?v=6qXN7qqvFHY&amp;list=PLqleLpAMfxGAdqZeY_4uVQOPCnAjhH-eT" TargetMode="External"/><Relationship Id="rId436" Type="http://schemas.openxmlformats.org/officeDocument/2006/relationships/hyperlink" Target="https://www.youtube.com/watch?v=9KwbXWQQfiE&amp;list=PLqleLpAMfxGAdqZeY_4uVQOPCnAjhH-eT" TargetMode="External"/><Relationship Id="rId437" Type="http://schemas.openxmlformats.org/officeDocument/2006/relationships/hyperlink" Target="https://www.youtube.com/watch?v=90jQGPZd4KU&amp;list=PLqleLpAMfxGAdqZeY_4uVQOPCnAjhH-eT" TargetMode="External"/><Relationship Id="rId438" Type="http://schemas.openxmlformats.org/officeDocument/2006/relationships/hyperlink" Target="https://www.youtube.com/watch?v=fdQ0TtUbR5E&amp;list=PLqleLpAMfxGAdqZeY_4uVQOPCnAjhH-eT" TargetMode="External"/><Relationship Id="rId439" Type="http://schemas.openxmlformats.org/officeDocument/2006/relationships/hyperlink" Target="https://www.youtube.com/watch?v=EzRFgv6YAus&amp;list=PLqleLpAMfxGAdqZeY_4uVQOPCnAjhH-eT" TargetMode="External"/><Relationship Id="rId440" Type="http://schemas.openxmlformats.org/officeDocument/2006/relationships/hyperlink" Target="https://www.youtube.com/watch?v=rv3EMnuHKo8&amp;list=PLqleLpAMfxGAdqZeY_4uVQOPCnAjhH-eT" TargetMode="External"/><Relationship Id="rId441" Type="http://schemas.openxmlformats.org/officeDocument/2006/relationships/hyperlink" Target="https://www.youtube.com/watch?v=_M7pUHfpaxk&amp;list=PLqleLpAMfxGAdqZeY_4uVQOPCnAjhH-eT" TargetMode="External"/><Relationship Id="rId442" Type="http://schemas.openxmlformats.org/officeDocument/2006/relationships/hyperlink" Target="https://www.youtube.com/watch?v=VJgCjLuU4e8&amp;list=PLqleLpAMfxGAdqZeY_4uVQOPCnAjhH-eT" TargetMode="External"/><Relationship Id="rId443" Type="http://schemas.openxmlformats.org/officeDocument/2006/relationships/hyperlink" Target="https://www.youtube.com/watch?v=iAD3Tk1Y4f8&amp;list=PLqleLpAMfxGAdqZeY_4uVQOPCnAjhH-eT" TargetMode="External"/><Relationship Id="rId444" Type="http://schemas.openxmlformats.org/officeDocument/2006/relationships/hyperlink" Target="https://www.youtube.com/watch?v=THeU1rT4NdA&amp;list=PLqleLpAMfxGAdqZeY_4uVQOPCnAjhH-eT" TargetMode="External"/><Relationship Id="rId445" Type="http://schemas.openxmlformats.org/officeDocument/2006/relationships/hyperlink" Target="https://www.youtube.com/watch?v=md-XA2Jbfsg&amp;list=PLqleLpAMfxGAdqZeY_4uVQOPCnAjhH-eT" TargetMode="External"/><Relationship Id="rId446" Type="http://schemas.openxmlformats.org/officeDocument/2006/relationships/hyperlink" Target="https://www.youtube.com/watch?v=HiU9zIv2nNc&amp;list=PLqleLpAMfxGAdqZeY_4uVQOPCnAjhH-eT" TargetMode="External"/><Relationship Id="rId447" Type="http://schemas.openxmlformats.org/officeDocument/2006/relationships/hyperlink" Target="https://www.youtube.com/watch?v=Z2CaeP4T9O4&amp;list=PLqleLpAMfxGAdqZeY_4uVQOPCnAjhH-eT" TargetMode="External"/><Relationship Id="rId448" Type="http://schemas.openxmlformats.org/officeDocument/2006/relationships/hyperlink" Target="https://www.youtube.com/watch?v=rcUvom0yj4g&amp;list=PLqleLpAMfxGAdqZeY_4uVQOPCnAjhH-eT" TargetMode="External"/><Relationship Id="rId449" Type="http://schemas.openxmlformats.org/officeDocument/2006/relationships/hyperlink" Target="https://www.youtube.com/watch?v=W4JyXFNMo2A&amp;list=PLqleLpAMfxGAdqZeY_4uVQOPCnAjhH-eT" TargetMode="External"/><Relationship Id="rId450" Type="http://schemas.openxmlformats.org/officeDocument/2006/relationships/hyperlink" Target="https://www.youtube.com/watch?v=xuu52sK66K4&amp;list=PLqleLpAMfxGAdqZeY_4uVQOPCnAjhH-eT" TargetMode="External"/><Relationship Id="rId451" Type="http://schemas.openxmlformats.org/officeDocument/2006/relationships/hyperlink" Target="https://www.youtube.com/watch?v=FWaz24t-qfU&amp;list=PLqleLpAMfxGAdqZeY_4uVQOPCnAjhH-eT" TargetMode="External"/><Relationship Id="rId452" Type="http://schemas.openxmlformats.org/officeDocument/2006/relationships/hyperlink" Target="https://www.youtube.com/watch?v=jmZfuI3lDK0&amp;list=PLqleLpAMfxGAdqZeY_4uVQOPCnAjhH-eT" TargetMode="External"/><Relationship Id="rId453" Type="http://schemas.openxmlformats.org/officeDocument/2006/relationships/hyperlink" Target="https://www.youtube.com/watch?v=wqJocu5yPY0&amp;list=PLqleLpAMfxGAdqZeY_4uVQOPCnAjhH-eT" TargetMode="External"/><Relationship Id="rId454" Type="http://schemas.openxmlformats.org/officeDocument/2006/relationships/hyperlink" Target="https://www.youtube.com/watch?v=QW1cFRXR9u8&amp;list=PLqleLpAMfxGAdqZeY_4uVQOPCnAjhH-eT" TargetMode="External"/><Relationship Id="rId455" Type="http://schemas.openxmlformats.org/officeDocument/2006/relationships/hyperlink" Target="https://www.youtube.com/watch?v=MQhDw0nbV7k&amp;list=PLqleLpAMfxGAdqZeY_4uVQOPCnAjhH-eT" TargetMode="External"/><Relationship Id="rId456" Type="http://schemas.openxmlformats.org/officeDocument/2006/relationships/hyperlink" Target="https://www.youtube.com/watch?v=UTUyJFvXeK4&amp;list=PLqleLpAMfxGAdqZeY_4uVQOPCnAjhH-eT" TargetMode="External"/><Relationship Id="rId457" Type="http://schemas.openxmlformats.org/officeDocument/2006/relationships/hyperlink" Target="https://www.youtube.com/watch?v=elEq4VzYRwM&amp;list=PLqleLpAMfxGAdqZeY_4uVQOPCnAjhH-eT" TargetMode="External"/><Relationship Id="rId458" Type="http://schemas.openxmlformats.org/officeDocument/2006/relationships/hyperlink" Target="https://www.youtube.com/watch?v=YcTHsIm97lU&amp;list=PLqleLpAMfxGAdqZeY_4uVQOPCnAjhH-eT" TargetMode="External"/><Relationship Id="rId459" Type="http://schemas.openxmlformats.org/officeDocument/2006/relationships/hyperlink" Target="https://www.youtube.com/watch?v=LkaL62duXXI&amp;list=PLqleLpAMfxGAdqZeY_4uVQOPCnAjhH-eT" TargetMode="External"/><Relationship Id="rId460" Type="http://schemas.openxmlformats.org/officeDocument/2006/relationships/hyperlink" Target="https://www.youtube.com/watch?v=4yE8sWfSEvM&amp;list=PLqleLpAMfxGAdqZeY_4uVQOPCnAjhH-eT" TargetMode="External"/><Relationship Id="rId461" Type="http://schemas.openxmlformats.org/officeDocument/2006/relationships/hyperlink" Target="https://www.youtube.com/watch?v=nCHG0TY4bqQ&amp;list=PLqleLpAMfxGAdqZeY_4uVQOPCnAjhH-eT" TargetMode="External"/><Relationship Id="rId462" Type="http://schemas.openxmlformats.org/officeDocument/2006/relationships/hyperlink" Target="https://www.youtube.com/watch?v=gprMt8viOEM&amp;list=PLqleLpAMfxGAdqZeY_4uVQOPCnAjhH-eT" TargetMode="External"/><Relationship Id="rId463" Type="http://schemas.openxmlformats.org/officeDocument/2006/relationships/hyperlink" Target="https://www.youtube.com/watch?v=7ah4EFafo2Q&amp;list=PLqleLpAMfxGAdqZeY_4uVQOPCnAjhH-eT" TargetMode="External"/><Relationship Id="rId464" Type="http://schemas.openxmlformats.org/officeDocument/2006/relationships/hyperlink" Target="https://www.youtube.com/watch?v=X2y-xii5XYM&amp;list=PLqleLpAMfxGAdqZeY_4uVQOPCnAjhH-eT" TargetMode="External"/><Relationship Id="rId465" Type="http://schemas.openxmlformats.org/officeDocument/2006/relationships/hyperlink" Target="https://www.youtube.com/watch?v=NVMlz9rZ6cE&amp;list=PLqleLpAMfxGAdqZeY_4uVQOPCnAjhH-eT" TargetMode="External"/><Relationship Id="rId466" Type="http://schemas.openxmlformats.org/officeDocument/2006/relationships/hyperlink" Target="https://www.youtube.com/watch?v=Qf1DuRMPbOA&amp;list=PLqleLpAMfxGAdqZeY_4uVQOPCnAjhH-eT" TargetMode="External"/><Relationship Id="rId467" Type="http://schemas.openxmlformats.org/officeDocument/2006/relationships/hyperlink" Target="https://www.youtube.com/watch?v=i_MLifRTwzY&amp;list=PLqleLpAMfxGAdqZeY_4uVQOPCnAjhH-eT" TargetMode="External"/><Relationship Id="rId468" Type="http://schemas.openxmlformats.org/officeDocument/2006/relationships/hyperlink" Target="https://www.youtube.com/watch?v=W1J2nTsHghQ&amp;list=PLqleLpAMfxGAdqZeY_4uVQOPCnAjhH-eT" TargetMode="External"/><Relationship Id="rId469" Type="http://schemas.openxmlformats.org/officeDocument/2006/relationships/hyperlink" Target="https://www.youtube.com/watch?v=bXuplmZBsTs&amp;list=PLqleLpAMfxGAdqZeY_4uVQOPCnAjhH-eT" TargetMode="External"/><Relationship Id="rId470" Type="http://schemas.openxmlformats.org/officeDocument/2006/relationships/hyperlink" Target="https://www.youtube.com/watch?v=W1kLAVyx4RQ&amp;list=PLqleLpAMfxGAdqZeY_4uVQOPCnAjhH-eT" TargetMode="External"/><Relationship Id="rId471" Type="http://schemas.openxmlformats.org/officeDocument/2006/relationships/hyperlink" Target="https://www.youtube.com/watch?v=8SoPJYABryI&amp;list=PLqleLpAMfxGAdqZeY_4uVQOPCnAjhH-eT" TargetMode="External"/><Relationship Id="rId472" Type="http://schemas.openxmlformats.org/officeDocument/2006/relationships/hyperlink" Target="https://www.youtube.com/watch?v=gUFL9z0lx48&amp;list=PLqleLpAMfxGAdqZeY_4uVQOPCnAjhH-eT" TargetMode="External"/><Relationship Id="rId47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11" min="7" style="0" width="44"/>
    <col collapsed="false" customWidth="true" hidden="false" outlineLevel="0" max="12" min="12" style="0" width="46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3" t="s">
        <v>13</v>
      </c>
      <c r="M3" s="3" t="s">
        <v>14</v>
      </c>
    </row>
    <row r="4" customFormat="false" ht="109.5" hidden="false" customHeight="true" outlineLevel="0" collapsed="false">
      <c r="A4" s="5" t="n">
        <v>1</v>
      </c>
      <c r="B4" s="6" t="s">
        <v>15</v>
      </c>
      <c r="C4" s="7" t="s">
        <v>16</v>
      </c>
      <c r="D4" s="6" t="s">
        <v>17</v>
      </c>
      <c r="E4" s="5" t="s">
        <v>18</v>
      </c>
      <c r="F4" s="8" t="n">
        <f aca="false">COUNTA(G4:K4)</f>
        <v>4</v>
      </c>
      <c r="G4" s="6"/>
      <c r="H4" s="9" t="s">
        <v>19</v>
      </c>
      <c r="I4" s="9" t="s">
        <v>20</v>
      </c>
      <c r="J4" s="9" t="s">
        <v>21</v>
      </c>
      <c r="K4" s="9" t="s">
        <v>22</v>
      </c>
      <c r="L4" s="6"/>
      <c r="M4" s="5" t="s">
        <v>23</v>
      </c>
    </row>
    <row r="5" customFormat="false" ht="69.75" hidden="false" customHeight="true" outlineLevel="0" collapsed="false">
      <c r="A5" s="5" t="n">
        <v>2</v>
      </c>
      <c r="B5" s="6" t="s">
        <v>15</v>
      </c>
      <c r="C5" s="7" t="s">
        <v>24</v>
      </c>
      <c r="D5" s="6" t="s">
        <v>25</v>
      </c>
      <c r="E5" s="5" t="s">
        <v>26</v>
      </c>
      <c r="F5" s="8" t="n">
        <f aca="false">COUNTA(G5:K5)</f>
        <v>3</v>
      </c>
      <c r="G5" s="6"/>
      <c r="H5" s="9" t="s">
        <v>27</v>
      </c>
      <c r="I5" s="6"/>
      <c r="J5" s="9" t="s">
        <v>28</v>
      </c>
      <c r="K5" s="9" t="s">
        <v>29</v>
      </c>
      <c r="L5" s="6"/>
      <c r="M5" s="5" t="s">
        <v>23</v>
      </c>
    </row>
    <row r="6" customFormat="false" ht="69.75" hidden="false" customHeight="true" outlineLevel="0" collapsed="false">
      <c r="A6" s="5" t="n">
        <v>3</v>
      </c>
      <c r="B6" s="6" t="s">
        <v>15</v>
      </c>
      <c r="C6" s="7" t="s">
        <v>30</v>
      </c>
      <c r="D6" s="6" t="s">
        <v>31</v>
      </c>
      <c r="E6" s="5" t="s">
        <v>18</v>
      </c>
      <c r="F6" s="8" t="n">
        <f aca="false">COUNTA(G6:K6)</f>
        <v>3</v>
      </c>
      <c r="G6" s="9" t="s">
        <v>32</v>
      </c>
      <c r="H6" s="9" t="s">
        <v>33</v>
      </c>
      <c r="I6" s="6"/>
      <c r="J6" s="6"/>
      <c r="K6" s="9" t="s">
        <v>34</v>
      </c>
      <c r="L6" s="6"/>
      <c r="M6" s="5" t="s">
        <v>23</v>
      </c>
    </row>
    <row r="7" customFormat="false" ht="43.5" hidden="false" customHeight="true" outlineLevel="0" collapsed="false">
      <c r="A7" s="5" t="n">
        <v>4</v>
      </c>
      <c r="B7" s="6" t="s">
        <v>15</v>
      </c>
      <c r="C7" s="7" t="s">
        <v>35</v>
      </c>
      <c r="D7" s="6" t="s">
        <v>36</v>
      </c>
      <c r="E7" s="5" t="s">
        <v>37</v>
      </c>
      <c r="F7" s="8" t="n">
        <f aca="false">COUNTA(G7:K7)</f>
        <v>5</v>
      </c>
      <c r="G7" s="9" t="s">
        <v>38</v>
      </c>
      <c r="H7" s="9" t="s">
        <v>39</v>
      </c>
      <c r="I7" s="9" t="s">
        <v>40</v>
      </c>
      <c r="J7" s="9" t="s">
        <v>41</v>
      </c>
      <c r="K7" s="9" t="s">
        <v>42</v>
      </c>
      <c r="L7" s="6"/>
      <c r="M7" s="5" t="s">
        <v>23</v>
      </c>
    </row>
    <row r="8" customFormat="false" ht="109.5" hidden="false" customHeight="true" outlineLevel="0" collapsed="false">
      <c r="A8" s="5" t="n">
        <v>5</v>
      </c>
      <c r="B8" s="6" t="s">
        <v>15</v>
      </c>
      <c r="C8" s="7" t="s">
        <v>43</v>
      </c>
      <c r="D8" s="6" t="s">
        <v>44</v>
      </c>
      <c r="E8" s="5" t="s">
        <v>26</v>
      </c>
      <c r="F8" s="8" t="n">
        <f aca="false">COUNTA(G8:K8)</f>
        <v>5</v>
      </c>
      <c r="G8" s="9" t="s">
        <v>45</v>
      </c>
      <c r="H8" s="9" t="s">
        <v>46</v>
      </c>
      <c r="I8" s="9" t="s">
        <v>47</v>
      </c>
      <c r="J8" s="9" t="s">
        <v>48</v>
      </c>
      <c r="K8" s="9" t="s">
        <v>49</v>
      </c>
      <c r="L8" s="6"/>
      <c r="M8" s="5" t="s">
        <v>23</v>
      </c>
    </row>
    <row r="9" customFormat="false" ht="82.5" hidden="false" customHeight="true" outlineLevel="0" collapsed="false">
      <c r="A9" s="5" t="n">
        <v>6</v>
      </c>
      <c r="B9" s="6" t="s">
        <v>15</v>
      </c>
      <c r="C9" s="7" t="s">
        <v>50</v>
      </c>
      <c r="D9" s="6" t="s">
        <v>51</v>
      </c>
      <c r="E9" s="5" t="s">
        <v>37</v>
      </c>
      <c r="F9" s="8" t="n">
        <f aca="false">COUNTA(G9:K9)</f>
        <v>5</v>
      </c>
      <c r="G9" s="9" t="s">
        <v>52</v>
      </c>
      <c r="H9" s="9" t="s">
        <v>53</v>
      </c>
      <c r="I9" s="9" t="s">
        <v>54</v>
      </c>
      <c r="J9" s="9" t="s">
        <v>55</v>
      </c>
      <c r="K9" s="9" t="s">
        <v>56</v>
      </c>
      <c r="L9" s="6"/>
      <c r="M9" s="5" t="s">
        <v>23</v>
      </c>
    </row>
    <row r="10" customFormat="false" ht="30" hidden="false" customHeight="true" outlineLevel="0" collapsed="false">
      <c r="A10" s="5" t="n">
        <v>7</v>
      </c>
      <c r="B10" s="6" t="s">
        <v>15</v>
      </c>
      <c r="C10" s="7" t="s">
        <v>57</v>
      </c>
      <c r="D10" s="6" t="s">
        <v>58</v>
      </c>
      <c r="E10" s="5" t="s">
        <v>26</v>
      </c>
      <c r="F10" s="8" t="n">
        <f aca="false">COUNTA(G10:K10)</f>
        <v>2</v>
      </c>
      <c r="G10" s="6"/>
      <c r="H10" s="6"/>
      <c r="I10" s="9" t="s">
        <v>59</v>
      </c>
      <c r="J10" s="9" t="s">
        <v>60</v>
      </c>
      <c r="K10" s="6"/>
      <c r="L10" s="6"/>
      <c r="M10" s="5" t="s">
        <v>23</v>
      </c>
    </row>
    <row r="11" customFormat="false" ht="96" hidden="false" customHeight="true" outlineLevel="0" collapsed="false">
      <c r="A11" s="5" t="n">
        <v>8</v>
      </c>
      <c r="B11" s="6" t="s">
        <v>15</v>
      </c>
      <c r="C11" s="7" t="s">
        <v>61</v>
      </c>
      <c r="D11" s="6" t="s">
        <v>62</v>
      </c>
      <c r="E11" s="5" t="s">
        <v>26</v>
      </c>
      <c r="F11" s="8" t="n">
        <f aca="false">COUNTA(G11:K11)</f>
        <v>4</v>
      </c>
      <c r="G11" s="9" t="s">
        <v>63</v>
      </c>
      <c r="H11" s="9" t="s">
        <v>64</v>
      </c>
      <c r="I11" s="6"/>
      <c r="J11" s="9" t="s">
        <v>55</v>
      </c>
      <c r="K11" s="9" t="s">
        <v>65</v>
      </c>
      <c r="L11" s="6"/>
      <c r="M11" s="5" t="s">
        <v>23</v>
      </c>
    </row>
    <row r="12" customFormat="false" ht="30" hidden="false" customHeight="true" outlineLevel="0" collapsed="false">
      <c r="A12" s="5" t="n">
        <v>9</v>
      </c>
      <c r="B12" s="6" t="s">
        <v>15</v>
      </c>
      <c r="C12" s="7" t="s">
        <v>66</v>
      </c>
      <c r="D12" s="6" t="s">
        <v>67</v>
      </c>
      <c r="E12" s="5" t="s">
        <v>26</v>
      </c>
      <c r="F12" s="8" t="n">
        <f aca="false">COUNTA(G12:K12)</f>
        <v>3</v>
      </c>
      <c r="G12" s="6"/>
      <c r="H12" s="9" t="s">
        <v>68</v>
      </c>
      <c r="I12" s="6"/>
      <c r="J12" s="9" t="s">
        <v>69</v>
      </c>
      <c r="K12" s="9" t="s">
        <v>70</v>
      </c>
      <c r="L12" s="6"/>
      <c r="M12" s="5" t="s">
        <v>23</v>
      </c>
    </row>
    <row r="13" customFormat="false" ht="43.5" hidden="false" customHeight="true" outlineLevel="0" collapsed="false">
      <c r="A13" s="5" t="n">
        <v>10</v>
      </c>
      <c r="B13" s="6" t="s">
        <v>15</v>
      </c>
      <c r="C13" s="7" t="s">
        <v>71</v>
      </c>
      <c r="D13" s="6" t="s">
        <v>72</v>
      </c>
      <c r="E13" s="5" t="s">
        <v>26</v>
      </c>
      <c r="F13" s="8" t="n">
        <f aca="false">COUNTA(G13:K13)</f>
        <v>5</v>
      </c>
      <c r="G13" s="9" t="s">
        <v>73</v>
      </c>
      <c r="H13" s="9" t="s">
        <v>74</v>
      </c>
      <c r="I13" s="9" t="s">
        <v>75</v>
      </c>
      <c r="J13" s="9" t="s">
        <v>76</v>
      </c>
      <c r="K13" s="9" t="s">
        <v>77</v>
      </c>
      <c r="L13" s="6"/>
      <c r="M13" s="5" t="s">
        <v>23</v>
      </c>
    </row>
    <row r="14" customFormat="false" ht="43.5" hidden="false" customHeight="true" outlineLevel="0" collapsed="false">
      <c r="A14" s="5" t="n">
        <v>11</v>
      </c>
      <c r="B14" s="6" t="s">
        <v>15</v>
      </c>
      <c r="C14" s="7" t="s">
        <v>78</v>
      </c>
      <c r="D14" s="6" t="s">
        <v>79</v>
      </c>
      <c r="E14" s="5" t="s">
        <v>26</v>
      </c>
      <c r="F14" s="8" t="n">
        <f aca="false">COUNTA(G14:K14)</f>
        <v>3</v>
      </c>
      <c r="G14" s="9" t="s">
        <v>80</v>
      </c>
      <c r="H14" s="6"/>
      <c r="I14" s="6"/>
      <c r="J14" s="9" t="s">
        <v>76</v>
      </c>
      <c r="K14" s="9" t="s">
        <v>81</v>
      </c>
      <c r="L14" s="6"/>
      <c r="M14" s="5" t="s">
        <v>23</v>
      </c>
    </row>
    <row r="15" customFormat="false" ht="82.5" hidden="false" customHeight="true" outlineLevel="0" collapsed="false">
      <c r="A15" s="5" t="n">
        <v>12</v>
      </c>
      <c r="B15" s="6" t="s">
        <v>15</v>
      </c>
      <c r="C15" s="7" t="s">
        <v>82</v>
      </c>
      <c r="D15" s="6" t="s">
        <v>83</v>
      </c>
      <c r="E15" s="5" t="s">
        <v>26</v>
      </c>
      <c r="F15" s="8" t="n">
        <f aca="false">COUNTA(G15:K15)</f>
        <v>4</v>
      </c>
      <c r="G15" s="9" t="s">
        <v>84</v>
      </c>
      <c r="H15" s="9" t="s">
        <v>85</v>
      </c>
      <c r="I15" s="6"/>
      <c r="J15" s="9" t="s">
        <v>86</v>
      </c>
      <c r="K15" s="9" t="s">
        <v>87</v>
      </c>
      <c r="L15" s="6"/>
      <c r="M15" s="5" t="s">
        <v>23</v>
      </c>
    </row>
    <row r="16" customFormat="false" ht="56.25" hidden="false" customHeight="true" outlineLevel="0" collapsed="false">
      <c r="A16" s="5" t="n">
        <v>13</v>
      </c>
      <c r="B16" s="6" t="s">
        <v>15</v>
      </c>
      <c r="C16" s="7" t="s">
        <v>88</v>
      </c>
      <c r="D16" s="6" t="s">
        <v>89</v>
      </c>
      <c r="E16" s="5" t="s">
        <v>26</v>
      </c>
      <c r="F16" s="8" t="n">
        <f aca="false">COUNTA(G16:K16)</f>
        <v>5</v>
      </c>
      <c r="G16" s="9" t="s">
        <v>90</v>
      </c>
      <c r="H16" s="9" t="s">
        <v>91</v>
      </c>
      <c r="I16" s="9" t="s">
        <v>92</v>
      </c>
      <c r="J16" s="9" t="s">
        <v>93</v>
      </c>
      <c r="K16" s="9" t="s">
        <v>94</v>
      </c>
      <c r="L16" s="6"/>
      <c r="M16" s="5" t="s">
        <v>23</v>
      </c>
    </row>
    <row r="17" customFormat="false" ht="43.5" hidden="false" customHeight="true" outlineLevel="0" collapsed="false">
      <c r="A17" s="5" t="n">
        <v>14</v>
      </c>
      <c r="B17" s="6" t="s">
        <v>15</v>
      </c>
      <c r="C17" s="7" t="s">
        <v>95</v>
      </c>
      <c r="D17" s="6" t="s">
        <v>96</v>
      </c>
      <c r="E17" s="5" t="s">
        <v>26</v>
      </c>
      <c r="F17" s="8" t="n">
        <f aca="false">COUNTA(G17:K17)</f>
        <v>5</v>
      </c>
      <c r="G17" s="9" t="s">
        <v>97</v>
      </c>
      <c r="H17" s="9" t="s">
        <v>98</v>
      </c>
      <c r="I17" s="9" t="s">
        <v>92</v>
      </c>
      <c r="J17" s="9" t="s">
        <v>99</v>
      </c>
      <c r="K17" s="9" t="s">
        <v>100</v>
      </c>
      <c r="L17" s="6"/>
      <c r="M17" s="5" t="s">
        <v>23</v>
      </c>
    </row>
    <row r="18" customFormat="false" ht="69.75" hidden="false" customHeight="true" outlineLevel="0" collapsed="false">
      <c r="A18" s="5" t="n">
        <v>15</v>
      </c>
      <c r="B18" s="6" t="s">
        <v>15</v>
      </c>
      <c r="C18" s="7" t="s">
        <v>101</v>
      </c>
      <c r="D18" s="6" t="s">
        <v>102</v>
      </c>
      <c r="E18" s="5" t="s">
        <v>26</v>
      </c>
      <c r="F18" s="8" t="n">
        <f aca="false">COUNTA(G18:K18)</f>
        <v>4</v>
      </c>
      <c r="G18" s="9" t="s">
        <v>103</v>
      </c>
      <c r="H18" s="9" t="s">
        <v>104</v>
      </c>
      <c r="I18" s="6"/>
      <c r="J18" s="9" t="s">
        <v>105</v>
      </c>
      <c r="K18" s="9" t="s">
        <v>106</v>
      </c>
      <c r="L18" s="6"/>
      <c r="M18" s="5" t="s">
        <v>23</v>
      </c>
    </row>
    <row r="19" customFormat="false" ht="56.25" hidden="false" customHeight="true" outlineLevel="0" collapsed="false">
      <c r="A19" s="5" t="n">
        <v>16</v>
      </c>
      <c r="B19" s="6" t="s">
        <v>15</v>
      </c>
      <c r="C19" s="7" t="s">
        <v>107</v>
      </c>
      <c r="D19" s="6" t="s">
        <v>108</v>
      </c>
      <c r="E19" s="5" t="s">
        <v>26</v>
      </c>
      <c r="F19" s="8" t="n">
        <f aca="false">COUNTA(G19:K19)</f>
        <v>2</v>
      </c>
      <c r="G19" s="6"/>
      <c r="H19" s="9" t="s">
        <v>109</v>
      </c>
      <c r="I19" s="6"/>
      <c r="J19" s="6"/>
      <c r="K19" s="9" t="s">
        <v>110</v>
      </c>
      <c r="L19" s="6"/>
      <c r="M19" s="5" t="s">
        <v>23</v>
      </c>
    </row>
    <row r="20" customFormat="false" ht="30" hidden="false" customHeight="true" outlineLevel="0" collapsed="false">
      <c r="A20" s="5" t="n">
        <v>17</v>
      </c>
      <c r="B20" s="6" t="s">
        <v>15</v>
      </c>
      <c r="C20" s="7" t="s">
        <v>111</v>
      </c>
      <c r="D20" s="6" t="s">
        <v>112</v>
      </c>
      <c r="E20" s="5" t="s">
        <v>18</v>
      </c>
      <c r="F20" s="8" t="n">
        <f aca="false">COUNTA(G20:K20)</f>
        <v>0</v>
      </c>
      <c r="G20" s="6"/>
      <c r="H20" s="6"/>
      <c r="I20" s="6"/>
      <c r="J20" s="6"/>
      <c r="K20" s="6"/>
      <c r="L20" s="10" t="s">
        <v>113</v>
      </c>
      <c r="M20" s="5" t="s">
        <v>23</v>
      </c>
    </row>
    <row r="21" customFormat="false" ht="30" hidden="false" customHeight="true" outlineLevel="0" collapsed="false">
      <c r="A21" s="5" t="n">
        <v>18</v>
      </c>
      <c r="B21" s="6" t="s">
        <v>15</v>
      </c>
      <c r="C21" s="7" t="s">
        <v>114</v>
      </c>
      <c r="D21" s="6" t="s">
        <v>115</v>
      </c>
      <c r="E21" s="5" t="s">
        <v>18</v>
      </c>
      <c r="F21" s="8" t="n">
        <f aca="false">COUNTA(G21:K21)</f>
        <v>2</v>
      </c>
      <c r="G21" s="6"/>
      <c r="H21" s="9" t="s">
        <v>116</v>
      </c>
      <c r="I21" s="6"/>
      <c r="J21" s="9" t="s">
        <v>117</v>
      </c>
      <c r="K21" s="6"/>
      <c r="L21" s="6"/>
      <c r="M21" s="5" t="s">
        <v>23</v>
      </c>
    </row>
    <row r="22" customFormat="false" ht="82.5" hidden="false" customHeight="true" outlineLevel="0" collapsed="false">
      <c r="A22" s="5" t="n">
        <v>19</v>
      </c>
      <c r="B22" s="6" t="s">
        <v>15</v>
      </c>
      <c r="C22" s="7" t="s">
        <v>118</v>
      </c>
      <c r="D22" s="6" t="s">
        <v>119</v>
      </c>
      <c r="E22" s="5" t="s">
        <v>26</v>
      </c>
      <c r="F22" s="8" t="n">
        <f aca="false">COUNTA(G22:K22)</f>
        <v>5</v>
      </c>
      <c r="G22" s="9" t="s">
        <v>120</v>
      </c>
      <c r="H22" s="9" t="s">
        <v>121</v>
      </c>
      <c r="I22" s="9" t="s">
        <v>122</v>
      </c>
      <c r="J22" s="9" t="s">
        <v>123</v>
      </c>
      <c r="K22" s="9" t="s">
        <v>124</v>
      </c>
      <c r="L22" s="6"/>
      <c r="M22" s="5" t="s">
        <v>23</v>
      </c>
    </row>
    <row r="23" customFormat="false" ht="43.5" hidden="false" customHeight="true" outlineLevel="0" collapsed="false">
      <c r="A23" s="5" t="n">
        <v>20</v>
      </c>
      <c r="B23" s="6" t="s">
        <v>15</v>
      </c>
      <c r="C23" s="7" t="s">
        <v>125</v>
      </c>
      <c r="D23" s="6" t="s">
        <v>126</v>
      </c>
      <c r="E23" s="5" t="s">
        <v>26</v>
      </c>
      <c r="F23" s="8" t="n">
        <f aca="false">COUNTA(G23:K23)</f>
        <v>3</v>
      </c>
      <c r="G23" s="9" t="s">
        <v>127</v>
      </c>
      <c r="H23" s="6"/>
      <c r="I23" s="6"/>
      <c r="J23" s="9" t="s">
        <v>123</v>
      </c>
      <c r="K23" s="9" t="s">
        <v>128</v>
      </c>
      <c r="L23" s="6"/>
      <c r="M23" s="5" t="s">
        <v>23</v>
      </c>
    </row>
    <row r="24" customFormat="false" ht="30" hidden="false" customHeight="true" outlineLevel="0" collapsed="false">
      <c r="A24" s="5" t="n">
        <v>21</v>
      </c>
      <c r="B24" s="6" t="s">
        <v>15</v>
      </c>
      <c r="C24" s="7" t="s">
        <v>129</v>
      </c>
      <c r="D24" s="6" t="s">
        <v>130</v>
      </c>
      <c r="E24" s="5" t="s">
        <v>37</v>
      </c>
      <c r="F24" s="8" t="n">
        <f aca="false">COUNTA(G24:K24)</f>
        <v>1</v>
      </c>
      <c r="G24" s="6"/>
      <c r="H24" s="6"/>
      <c r="I24" s="6"/>
      <c r="J24" s="9" t="s">
        <v>131</v>
      </c>
      <c r="K24" s="6"/>
      <c r="L24" s="6" t="s">
        <v>132</v>
      </c>
      <c r="M24" s="5" t="s">
        <v>23</v>
      </c>
    </row>
    <row r="25" customFormat="false" ht="56.25" hidden="false" customHeight="true" outlineLevel="0" collapsed="false">
      <c r="A25" s="5" t="n">
        <v>22</v>
      </c>
      <c r="B25" s="6" t="s">
        <v>15</v>
      </c>
      <c r="C25" s="7" t="s">
        <v>133</v>
      </c>
      <c r="D25" s="6" t="s">
        <v>134</v>
      </c>
      <c r="E25" s="5" t="s">
        <v>18</v>
      </c>
      <c r="F25" s="8" t="n">
        <f aca="false">COUNTA(G25:K25)</f>
        <v>1</v>
      </c>
      <c r="G25" s="6"/>
      <c r="H25" s="6"/>
      <c r="I25" s="6"/>
      <c r="J25" s="6"/>
      <c r="K25" s="9" t="s">
        <v>135</v>
      </c>
      <c r="L25" s="6"/>
      <c r="M25" s="5" t="s">
        <v>23</v>
      </c>
    </row>
    <row r="26" customFormat="false" ht="43.5" hidden="false" customHeight="true" outlineLevel="0" collapsed="false">
      <c r="A26" s="5" t="n">
        <v>23</v>
      </c>
      <c r="B26" s="6" t="s">
        <v>15</v>
      </c>
      <c r="C26" s="7" t="s">
        <v>136</v>
      </c>
      <c r="D26" s="6" t="s">
        <v>137</v>
      </c>
      <c r="E26" s="5" t="s">
        <v>37</v>
      </c>
      <c r="F26" s="8" t="n">
        <f aca="false">COUNTA(G26:K26)</f>
        <v>3</v>
      </c>
      <c r="G26" s="9" t="s">
        <v>138</v>
      </c>
      <c r="H26" s="6"/>
      <c r="I26" s="6"/>
      <c r="J26" s="9" t="s">
        <v>139</v>
      </c>
      <c r="K26" s="9" t="s">
        <v>140</v>
      </c>
      <c r="L26" s="6"/>
      <c r="M26" s="5" t="s">
        <v>23</v>
      </c>
    </row>
    <row r="27" customFormat="false" ht="69.75" hidden="false" customHeight="true" outlineLevel="0" collapsed="false">
      <c r="A27" s="5" t="n">
        <v>24</v>
      </c>
      <c r="B27" s="6" t="s">
        <v>15</v>
      </c>
      <c r="C27" s="7" t="s">
        <v>141</v>
      </c>
      <c r="D27" s="6" t="s">
        <v>142</v>
      </c>
      <c r="E27" s="5" t="s">
        <v>26</v>
      </c>
      <c r="F27" s="8" t="n">
        <f aca="false">COUNTA(G27:K27)</f>
        <v>4</v>
      </c>
      <c r="G27" s="9" t="s">
        <v>143</v>
      </c>
      <c r="H27" s="9" t="s">
        <v>144</v>
      </c>
      <c r="I27" s="6"/>
      <c r="J27" s="9" t="s">
        <v>145</v>
      </c>
      <c r="K27" s="9" t="s">
        <v>146</v>
      </c>
      <c r="L27" s="6"/>
      <c r="M27" s="5" t="s">
        <v>23</v>
      </c>
    </row>
    <row r="28" customFormat="false" ht="43.5" hidden="false" customHeight="true" outlineLevel="0" collapsed="false">
      <c r="A28" s="5" t="n">
        <v>25</v>
      </c>
      <c r="B28" s="6" t="s">
        <v>15</v>
      </c>
      <c r="C28" s="7" t="s">
        <v>147</v>
      </c>
      <c r="D28" s="6" t="s">
        <v>148</v>
      </c>
      <c r="E28" s="5" t="s">
        <v>26</v>
      </c>
      <c r="F28" s="8" t="n">
        <f aca="false">COUNTA(G28:K28)</f>
        <v>3</v>
      </c>
      <c r="G28" s="9" t="s">
        <v>149</v>
      </c>
      <c r="H28" s="6"/>
      <c r="I28" s="6"/>
      <c r="J28" s="9" t="s">
        <v>145</v>
      </c>
      <c r="K28" s="9" t="s">
        <v>150</v>
      </c>
      <c r="L28" s="6"/>
      <c r="M28" s="5" t="s">
        <v>23</v>
      </c>
    </row>
    <row r="29" customFormat="false" ht="43.5" hidden="false" customHeight="true" outlineLevel="0" collapsed="false">
      <c r="A29" s="5" t="n">
        <v>26</v>
      </c>
      <c r="B29" s="6" t="s">
        <v>15</v>
      </c>
      <c r="C29" s="7" t="s">
        <v>151</v>
      </c>
      <c r="D29" s="6" t="s">
        <v>152</v>
      </c>
      <c r="E29" s="5" t="s">
        <v>18</v>
      </c>
      <c r="F29" s="8" t="n">
        <f aca="false">COUNTA(G29:K29)</f>
        <v>0</v>
      </c>
      <c r="G29" s="6"/>
      <c r="H29" s="6"/>
      <c r="I29" s="6"/>
      <c r="J29" s="6"/>
      <c r="K29" s="6"/>
      <c r="L29" s="10" t="s">
        <v>153</v>
      </c>
      <c r="M29" s="5" t="s">
        <v>23</v>
      </c>
    </row>
    <row r="30" customFormat="false" ht="43.5" hidden="false" customHeight="true" outlineLevel="0" collapsed="false">
      <c r="A30" s="11" t="n">
        <v>27</v>
      </c>
      <c r="B30" s="12" t="s">
        <v>154</v>
      </c>
      <c r="C30" s="13" t="s">
        <v>155</v>
      </c>
      <c r="D30" s="12" t="s">
        <v>156</v>
      </c>
      <c r="E30" s="11" t="s">
        <v>37</v>
      </c>
      <c r="F30" s="14" t="n">
        <f aca="false">COUNTA(G30:K30)</f>
        <v>4</v>
      </c>
      <c r="G30" s="15" t="s">
        <v>157</v>
      </c>
      <c r="H30" s="12"/>
      <c r="I30" s="15" t="s">
        <v>158</v>
      </c>
      <c r="J30" s="15" t="s">
        <v>159</v>
      </c>
      <c r="K30" s="15" t="s">
        <v>160</v>
      </c>
      <c r="L30" s="12"/>
      <c r="M30" s="11" t="s">
        <v>23</v>
      </c>
    </row>
    <row r="31" customFormat="false" ht="56.25" hidden="false" customHeight="true" outlineLevel="0" collapsed="false">
      <c r="A31" s="5" t="n">
        <v>28</v>
      </c>
      <c r="B31" s="6" t="s">
        <v>154</v>
      </c>
      <c r="C31" s="7" t="s">
        <v>161</v>
      </c>
      <c r="D31" s="6" t="s">
        <v>162</v>
      </c>
      <c r="E31" s="5" t="s">
        <v>26</v>
      </c>
      <c r="F31" s="8" t="n">
        <f aca="false">COUNTA(G31:K31)</f>
        <v>4</v>
      </c>
      <c r="G31" s="6"/>
      <c r="H31" s="9" t="s">
        <v>163</v>
      </c>
      <c r="I31" s="9" t="s">
        <v>164</v>
      </c>
      <c r="J31" s="9" t="s">
        <v>159</v>
      </c>
      <c r="K31" s="9" t="s">
        <v>165</v>
      </c>
      <c r="L31" s="6"/>
      <c r="M31" s="5" t="s">
        <v>23</v>
      </c>
    </row>
    <row r="32" customFormat="false" ht="43.5" hidden="false" customHeight="true" outlineLevel="0" collapsed="false">
      <c r="A32" s="5" t="n">
        <v>29</v>
      </c>
      <c r="B32" s="6" t="s">
        <v>154</v>
      </c>
      <c r="C32" s="7" t="s">
        <v>166</v>
      </c>
      <c r="D32" s="6" t="s">
        <v>167</v>
      </c>
      <c r="E32" s="5" t="s">
        <v>26</v>
      </c>
      <c r="F32" s="8" t="n">
        <f aca="false">COUNTA(G32:K32)</f>
        <v>5</v>
      </c>
      <c r="G32" s="9" t="s">
        <v>168</v>
      </c>
      <c r="H32" s="9" t="s">
        <v>169</v>
      </c>
      <c r="I32" s="9" t="s">
        <v>170</v>
      </c>
      <c r="J32" s="9" t="s">
        <v>171</v>
      </c>
      <c r="K32" s="9" t="s">
        <v>172</v>
      </c>
      <c r="L32" s="6"/>
      <c r="M32" s="5" t="s">
        <v>23</v>
      </c>
    </row>
    <row r="33" customFormat="false" ht="56.25" hidden="false" customHeight="true" outlineLevel="0" collapsed="false">
      <c r="A33" s="5" t="n">
        <v>30</v>
      </c>
      <c r="B33" s="6" t="s">
        <v>154</v>
      </c>
      <c r="C33" s="7" t="s">
        <v>173</v>
      </c>
      <c r="D33" s="6" t="s">
        <v>174</v>
      </c>
      <c r="E33" s="5" t="s">
        <v>26</v>
      </c>
      <c r="F33" s="8" t="n">
        <f aca="false">COUNTA(G33:K33)</f>
        <v>1</v>
      </c>
      <c r="G33" s="6"/>
      <c r="H33" s="6"/>
      <c r="I33" s="6"/>
      <c r="J33" s="6"/>
      <c r="K33" s="9" t="s">
        <v>175</v>
      </c>
      <c r="L33" s="6" t="s">
        <v>176</v>
      </c>
      <c r="M33" s="5" t="s">
        <v>23</v>
      </c>
    </row>
    <row r="34" customFormat="false" ht="82.5" hidden="false" customHeight="true" outlineLevel="0" collapsed="false">
      <c r="A34" s="5" t="n">
        <v>31</v>
      </c>
      <c r="B34" s="6" t="s">
        <v>154</v>
      </c>
      <c r="C34" s="7" t="s">
        <v>177</v>
      </c>
      <c r="D34" s="6" t="s">
        <v>178</v>
      </c>
      <c r="E34" s="5" t="s">
        <v>26</v>
      </c>
      <c r="F34" s="8" t="n">
        <f aca="false">COUNTA(G34:K34)</f>
        <v>3</v>
      </c>
      <c r="G34" s="6"/>
      <c r="H34" s="9" t="s">
        <v>179</v>
      </c>
      <c r="I34" s="6"/>
      <c r="J34" s="9" t="s">
        <v>180</v>
      </c>
      <c r="K34" s="9" t="s">
        <v>181</v>
      </c>
      <c r="L34" s="6"/>
      <c r="M34" s="5" t="s">
        <v>23</v>
      </c>
    </row>
    <row r="35" customFormat="false" ht="30" hidden="false" customHeight="true" outlineLevel="0" collapsed="false">
      <c r="A35" s="5" t="n">
        <v>32</v>
      </c>
      <c r="B35" s="6" t="s">
        <v>154</v>
      </c>
      <c r="C35" s="7" t="s">
        <v>182</v>
      </c>
      <c r="D35" s="6" t="s">
        <v>183</v>
      </c>
      <c r="E35" s="5" t="s">
        <v>26</v>
      </c>
      <c r="F35" s="8" t="n">
        <f aca="false">COUNTA(G35:K35)</f>
        <v>4</v>
      </c>
      <c r="G35" s="9" t="s">
        <v>184</v>
      </c>
      <c r="H35" s="9" t="s">
        <v>185</v>
      </c>
      <c r="I35" s="6"/>
      <c r="J35" s="9" t="s">
        <v>186</v>
      </c>
      <c r="K35" s="9" t="s">
        <v>187</v>
      </c>
      <c r="L35" s="6"/>
      <c r="M35" s="5" t="s">
        <v>23</v>
      </c>
    </row>
    <row r="36" customFormat="false" ht="30" hidden="false" customHeight="true" outlineLevel="0" collapsed="false">
      <c r="A36" s="5" t="n">
        <v>33</v>
      </c>
      <c r="B36" s="6" t="s">
        <v>154</v>
      </c>
      <c r="C36" s="7" t="s">
        <v>188</v>
      </c>
      <c r="D36" s="6" t="s">
        <v>189</v>
      </c>
      <c r="E36" s="5" t="s">
        <v>26</v>
      </c>
      <c r="F36" s="8" t="n">
        <f aca="false">COUNTA(G36:K36)</f>
        <v>2</v>
      </c>
      <c r="G36" s="9" t="s">
        <v>190</v>
      </c>
      <c r="H36" s="9" t="s">
        <v>191</v>
      </c>
      <c r="I36" s="6"/>
      <c r="J36" s="6"/>
      <c r="K36" s="6"/>
      <c r="L36" s="6"/>
      <c r="M36" s="5" t="s">
        <v>23</v>
      </c>
    </row>
    <row r="37" customFormat="false" ht="82.5" hidden="false" customHeight="true" outlineLevel="0" collapsed="false">
      <c r="A37" s="5" t="n">
        <v>34</v>
      </c>
      <c r="B37" s="6" t="s">
        <v>154</v>
      </c>
      <c r="C37" s="7" t="s">
        <v>192</v>
      </c>
      <c r="D37" s="6" t="s">
        <v>193</v>
      </c>
      <c r="E37" s="5" t="s">
        <v>37</v>
      </c>
      <c r="F37" s="8" t="n">
        <f aca="false">COUNTA(G37:K37)</f>
        <v>4</v>
      </c>
      <c r="G37" s="9" t="s">
        <v>194</v>
      </c>
      <c r="H37" s="9" t="s">
        <v>195</v>
      </c>
      <c r="I37" s="6"/>
      <c r="J37" s="9" t="s">
        <v>186</v>
      </c>
      <c r="K37" s="9" t="s">
        <v>196</v>
      </c>
      <c r="L37" s="6"/>
      <c r="M37" s="5" t="s">
        <v>23</v>
      </c>
    </row>
    <row r="38" customFormat="false" ht="56.25" hidden="false" customHeight="true" outlineLevel="0" collapsed="false">
      <c r="A38" s="5" t="n">
        <v>35</v>
      </c>
      <c r="B38" s="6" t="s">
        <v>154</v>
      </c>
      <c r="C38" s="7" t="s">
        <v>197</v>
      </c>
      <c r="D38" s="6" t="s">
        <v>198</v>
      </c>
      <c r="E38" s="5" t="s">
        <v>37</v>
      </c>
      <c r="F38" s="8" t="n">
        <f aca="false">COUNTA(G38:K38)</f>
        <v>4</v>
      </c>
      <c r="G38" s="9" t="s">
        <v>199</v>
      </c>
      <c r="H38" s="9" t="s">
        <v>200</v>
      </c>
      <c r="I38" s="6"/>
      <c r="J38" s="9" t="s">
        <v>123</v>
      </c>
      <c r="K38" s="9" t="s">
        <v>201</v>
      </c>
      <c r="L38" s="6"/>
      <c r="M38" s="5" t="s">
        <v>23</v>
      </c>
    </row>
    <row r="39" customFormat="false" ht="56.25" hidden="false" customHeight="true" outlineLevel="0" collapsed="false">
      <c r="A39" s="5" t="n">
        <v>36</v>
      </c>
      <c r="B39" s="6" t="s">
        <v>154</v>
      </c>
      <c r="C39" s="7" t="s">
        <v>202</v>
      </c>
      <c r="D39" s="6" t="s">
        <v>203</v>
      </c>
      <c r="E39" s="5" t="s">
        <v>37</v>
      </c>
      <c r="F39" s="8" t="n">
        <f aca="false">COUNTA(G39:K39)</f>
        <v>4</v>
      </c>
      <c r="G39" s="9" t="s">
        <v>204</v>
      </c>
      <c r="H39" s="9" t="s">
        <v>205</v>
      </c>
      <c r="I39" s="6"/>
      <c r="J39" s="9" t="s">
        <v>206</v>
      </c>
      <c r="K39" s="9" t="s">
        <v>207</v>
      </c>
      <c r="L39" s="6"/>
      <c r="M39" s="5" t="s">
        <v>23</v>
      </c>
    </row>
    <row r="40" customFormat="false" ht="30" hidden="false" customHeight="true" outlineLevel="0" collapsed="false">
      <c r="A40" s="5" t="n">
        <v>37</v>
      </c>
      <c r="B40" s="6" t="s">
        <v>154</v>
      </c>
      <c r="C40" s="7" t="s">
        <v>208</v>
      </c>
      <c r="D40" s="6" t="s">
        <v>209</v>
      </c>
      <c r="E40" s="5" t="s">
        <v>26</v>
      </c>
      <c r="F40" s="8" t="n">
        <f aca="false">COUNTA(G40:K40)</f>
        <v>0</v>
      </c>
      <c r="G40" s="6"/>
      <c r="H40" s="6"/>
      <c r="I40" s="6"/>
      <c r="J40" s="6"/>
      <c r="K40" s="6"/>
      <c r="L40" s="10" t="s">
        <v>210</v>
      </c>
      <c r="M40" s="5" t="s">
        <v>23</v>
      </c>
    </row>
    <row r="41" customFormat="false" ht="82.5" hidden="false" customHeight="true" outlineLevel="0" collapsed="false">
      <c r="A41" s="5" t="n">
        <v>38</v>
      </c>
      <c r="B41" s="6" t="s">
        <v>154</v>
      </c>
      <c r="C41" s="7" t="s">
        <v>211</v>
      </c>
      <c r="D41" s="6" t="s">
        <v>212</v>
      </c>
      <c r="E41" s="5" t="s">
        <v>37</v>
      </c>
      <c r="F41" s="8" t="n">
        <f aca="false">COUNTA(G41:K41)</f>
        <v>4</v>
      </c>
      <c r="G41" s="9" t="s">
        <v>213</v>
      </c>
      <c r="H41" s="9" t="s">
        <v>214</v>
      </c>
      <c r="I41" s="6"/>
      <c r="J41" s="9" t="s">
        <v>215</v>
      </c>
      <c r="K41" s="9" t="s">
        <v>216</v>
      </c>
      <c r="L41" s="6"/>
      <c r="M41" s="5" t="s">
        <v>23</v>
      </c>
    </row>
    <row r="42" customFormat="false" ht="56.25" hidden="false" customHeight="true" outlineLevel="0" collapsed="false">
      <c r="A42" s="5" t="n">
        <v>39</v>
      </c>
      <c r="B42" s="6" t="s">
        <v>154</v>
      </c>
      <c r="C42" s="7" t="s">
        <v>217</v>
      </c>
      <c r="D42" s="6" t="s">
        <v>218</v>
      </c>
      <c r="E42" s="5" t="s">
        <v>37</v>
      </c>
      <c r="F42" s="8" t="n">
        <f aca="false">COUNTA(G42:K42)</f>
        <v>5</v>
      </c>
      <c r="G42" s="9" t="s">
        <v>219</v>
      </c>
      <c r="H42" s="9" t="s">
        <v>220</v>
      </c>
      <c r="I42" s="9" t="s">
        <v>221</v>
      </c>
      <c r="J42" s="9" t="s">
        <v>222</v>
      </c>
      <c r="K42" s="9" t="s">
        <v>223</v>
      </c>
      <c r="L42" s="6"/>
      <c r="M42" s="5" t="s">
        <v>23</v>
      </c>
    </row>
    <row r="43" customFormat="false" ht="82.5" hidden="false" customHeight="true" outlineLevel="0" collapsed="false">
      <c r="A43" s="5" t="n">
        <v>40</v>
      </c>
      <c r="B43" s="6" t="s">
        <v>154</v>
      </c>
      <c r="C43" s="7" t="s">
        <v>224</v>
      </c>
      <c r="D43" s="6" t="s">
        <v>225</v>
      </c>
      <c r="E43" s="5" t="s">
        <v>37</v>
      </c>
      <c r="F43" s="8" t="n">
        <f aca="false">COUNTA(G43:K43)</f>
        <v>3</v>
      </c>
      <c r="G43" s="6"/>
      <c r="H43" s="9" t="s">
        <v>226</v>
      </c>
      <c r="I43" s="6"/>
      <c r="J43" s="9" t="s">
        <v>206</v>
      </c>
      <c r="K43" s="9" t="s">
        <v>227</v>
      </c>
      <c r="L43" s="6"/>
      <c r="M43" s="5" t="s">
        <v>23</v>
      </c>
    </row>
    <row r="44" customFormat="false" ht="43.5" hidden="false" customHeight="true" outlineLevel="0" collapsed="false">
      <c r="A44" s="5" t="n">
        <v>41</v>
      </c>
      <c r="B44" s="6" t="s">
        <v>154</v>
      </c>
      <c r="C44" s="7" t="s">
        <v>228</v>
      </c>
      <c r="D44" s="6" t="s">
        <v>229</v>
      </c>
      <c r="E44" s="5" t="s">
        <v>26</v>
      </c>
      <c r="F44" s="8" t="n">
        <f aca="false">COUNTA(G44:K44)</f>
        <v>4</v>
      </c>
      <c r="G44" s="9" t="s">
        <v>230</v>
      </c>
      <c r="H44" s="9" t="s">
        <v>231</v>
      </c>
      <c r="I44" s="6"/>
      <c r="J44" s="9" t="s">
        <v>186</v>
      </c>
      <c r="K44" s="9" t="s">
        <v>232</v>
      </c>
      <c r="L44" s="6"/>
      <c r="M44" s="5" t="s">
        <v>23</v>
      </c>
    </row>
    <row r="45" customFormat="false" ht="69.75" hidden="false" customHeight="true" outlineLevel="0" collapsed="false">
      <c r="A45" s="5" t="n">
        <v>42</v>
      </c>
      <c r="B45" s="6" t="s">
        <v>154</v>
      </c>
      <c r="C45" s="7" t="s">
        <v>233</v>
      </c>
      <c r="D45" s="6" t="s">
        <v>234</v>
      </c>
      <c r="E45" s="5" t="s">
        <v>26</v>
      </c>
      <c r="F45" s="8" t="n">
        <f aca="false">COUNTA(G45:K45)</f>
        <v>4</v>
      </c>
      <c r="G45" s="9" t="s">
        <v>235</v>
      </c>
      <c r="H45" s="9" t="s">
        <v>236</v>
      </c>
      <c r="I45" s="6"/>
      <c r="J45" s="9" t="s">
        <v>117</v>
      </c>
      <c r="K45" s="9" t="s">
        <v>237</v>
      </c>
      <c r="L45" s="6"/>
      <c r="M45" s="5" t="s">
        <v>23</v>
      </c>
    </row>
    <row r="46" customFormat="false" ht="30" hidden="false" customHeight="true" outlineLevel="0" collapsed="false">
      <c r="A46" s="5" t="n">
        <v>43</v>
      </c>
      <c r="B46" s="6" t="s">
        <v>154</v>
      </c>
      <c r="C46" s="7" t="s">
        <v>238</v>
      </c>
      <c r="D46" s="6" t="s">
        <v>239</v>
      </c>
      <c r="E46" s="5" t="s">
        <v>26</v>
      </c>
      <c r="F46" s="8" t="n">
        <f aca="false">COUNTA(G46:K46)</f>
        <v>4</v>
      </c>
      <c r="G46" s="9" t="s">
        <v>240</v>
      </c>
      <c r="H46" s="9" t="s">
        <v>241</v>
      </c>
      <c r="I46" s="6"/>
      <c r="J46" s="9" t="s">
        <v>117</v>
      </c>
      <c r="K46" s="9" t="s">
        <v>242</v>
      </c>
      <c r="L46" s="6"/>
      <c r="M46" s="5" t="s">
        <v>23</v>
      </c>
    </row>
    <row r="47" customFormat="false" ht="43.5" hidden="false" customHeight="true" outlineLevel="0" collapsed="false">
      <c r="A47" s="5" t="n">
        <v>44</v>
      </c>
      <c r="B47" s="6" t="s">
        <v>154</v>
      </c>
      <c r="C47" s="7" t="s">
        <v>243</v>
      </c>
      <c r="D47" s="6" t="s">
        <v>244</v>
      </c>
      <c r="E47" s="5" t="s">
        <v>18</v>
      </c>
      <c r="F47" s="8" t="n">
        <f aca="false">COUNTA(G47:K47)</f>
        <v>0</v>
      </c>
      <c r="G47" s="6"/>
      <c r="H47" s="6"/>
      <c r="I47" s="6"/>
      <c r="J47" s="6"/>
      <c r="K47" s="6"/>
      <c r="L47" s="10" t="s">
        <v>245</v>
      </c>
      <c r="M47" s="5" t="s">
        <v>23</v>
      </c>
    </row>
    <row r="48" customFormat="false" ht="43.5" hidden="false" customHeight="true" outlineLevel="0" collapsed="false">
      <c r="A48" s="5" t="n">
        <v>45</v>
      </c>
      <c r="B48" s="6" t="s">
        <v>154</v>
      </c>
      <c r="C48" s="7" t="s">
        <v>246</v>
      </c>
      <c r="D48" s="6" t="s">
        <v>247</v>
      </c>
      <c r="E48" s="5" t="s">
        <v>26</v>
      </c>
      <c r="F48" s="8" t="n">
        <f aca="false">COUNTA(G48:K48)</f>
        <v>3</v>
      </c>
      <c r="G48" s="9" t="s">
        <v>248</v>
      </c>
      <c r="H48" s="6"/>
      <c r="I48" s="9" t="s">
        <v>164</v>
      </c>
      <c r="J48" s="9" t="s">
        <v>249</v>
      </c>
      <c r="K48" s="6"/>
      <c r="L48" s="6"/>
      <c r="M48" s="5" t="s">
        <v>23</v>
      </c>
    </row>
    <row r="49" customFormat="false" ht="56.25" hidden="false" customHeight="true" outlineLevel="0" collapsed="false">
      <c r="A49" s="5" t="n">
        <v>46</v>
      </c>
      <c r="B49" s="6" t="s">
        <v>154</v>
      </c>
      <c r="C49" s="7" t="s">
        <v>250</v>
      </c>
      <c r="D49" s="6" t="s">
        <v>251</v>
      </c>
      <c r="E49" s="5" t="s">
        <v>37</v>
      </c>
      <c r="F49" s="8" t="n">
        <f aca="false">COUNTA(G49:K49)</f>
        <v>2</v>
      </c>
      <c r="G49" s="6"/>
      <c r="H49" s="9" t="s">
        <v>252</v>
      </c>
      <c r="I49" s="6"/>
      <c r="J49" s="9" t="s">
        <v>253</v>
      </c>
      <c r="K49" s="6"/>
      <c r="L49" s="6"/>
      <c r="M49" s="5" t="s">
        <v>23</v>
      </c>
    </row>
    <row r="50" customFormat="false" ht="30" hidden="false" customHeight="true" outlineLevel="0" collapsed="false">
      <c r="A50" s="5" t="n">
        <v>47</v>
      </c>
      <c r="B50" s="6" t="s">
        <v>154</v>
      </c>
      <c r="C50" s="7" t="s">
        <v>254</v>
      </c>
      <c r="D50" s="6" t="s">
        <v>255</v>
      </c>
      <c r="E50" s="5" t="s">
        <v>26</v>
      </c>
      <c r="F50" s="8" t="n">
        <f aca="false">COUNTA(G50:K50)</f>
        <v>2</v>
      </c>
      <c r="G50" s="6"/>
      <c r="H50" s="6"/>
      <c r="I50" s="6"/>
      <c r="J50" s="9" t="s">
        <v>131</v>
      </c>
      <c r="K50" s="9" t="s">
        <v>256</v>
      </c>
      <c r="L50" s="6" t="s">
        <v>257</v>
      </c>
      <c r="M50" s="5" t="s">
        <v>23</v>
      </c>
    </row>
    <row r="51" customFormat="false" ht="43.5" hidden="false" customHeight="true" outlineLevel="0" collapsed="false">
      <c r="A51" s="5" t="n">
        <v>48</v>
      </c>
      <c r="B51" s="6" t="s">
        <v>154</v>
      </c>
      <c r="C51" s="7" t="s">
        <v>258</v>
      </c>
      <c r="D51" s="6" t="s">
        <v>259</v>
      </c>
      <c r="E51" s="5" t="s">
        <v>26</v>
      </c>
      <c r="F51" s="8" t="n">
        <f aca="false">COUNTA(G51:K51)</f>
        <v>2</v>
      </c>
      <c r="G51" s="6"/>
      <c r="H51" s="6"/>
      <c r="I51" s="9" t="s">
        <v>260</v>
      </c>
      <c r="J51" s="9" t="s">
        <v>261</v>
      </c>
      <c r="K51" s="6"/>
      <c r="L51" s="6"/>
      <c r="M51" s="5" t="s">
        <v>23</v>
      </c>
    </row>
    <row r="52" customFormat="false" ht="43.5" hidden="false" customHeight="true" outlineLevel="0" collapsed="false">
      <c r="A52" s="5" t="n">
        <v>49</v>
      </c>
      <c r="B52" s="6" t="s">
        <v>154</v>
      </c>
      <c r="C52" s="7" t="s">
        <v>262</v>
      </c>
      <c r="D52" s="6" t="s">
        <v>263</v>
      </c>
      <c r="E52" s="5" t="s">
        <v>18</v>
      </c>
      <c r="F52" s="8" t="n">
        <f aca="false">COUNTA(G52:K52)</f>
        <v>3</v>
      </c>
      <c r="G52" s="6"/>
      <c r="H52" s="9" t="s">
        <v>264</v>
      </c>
      <c r="I52" s="9" t="s">
        <v>265</v>
      </c>
      <c r="J52" s="9" t="s">
        <v>266</v>
      </c>
      <c r="K52" s="6"/>
      <c r="L52" s="6"/>
      <c r="M52" s="5" t="s">
        <v>23</v>
      </c>
    </row>
    <row r="53" customFormat="false" ht="43.5" hidden="false" customHeight="true" outlineLevel="0" collapsed="false">
      <c r="A53" s="5" t="n">
        <v>50</v>
      </c>
      <c r="B53" s="6" t="s">
        <v>154</v>
      </c>
      <c r="C53" s="7" t="s">
        <v>267</v>
      </c>
      <c r="D53" s="6" t="s">
        <v>268</v>
      </c>
      <c r="E53" s="5" t="s">
        <v>26</v>
      </c>
      <c r="F53" s="8" t="n">
        <f aca="false">COUNTA(G53:K53)</f>
        <v>3</v>
      </c>
      <c r="G53" s="9" t="s">
        <v>269</v>
      </c>
      <c r="H53" s="9" t="s">
        <v>270</v>
      </c>
      <c r="I53" s="6"/>
      <c r="J53" s="9" t="s">
        <v>266</v>
      </c>
      <c r="K53" s="6"/>
      <c r="L53" s="6"/>
      <c r="M53" s="5" t="s">
        <v>23</v>
      </c>
    </row>
    <row r="54" customFormat="false" ht="56.25" hidden="false" customHeight="true" outlineLevel="0" collapsed="false">
      <c r="A54" s="5" t="n">
        <v>51</v>
      </c>
      <c r="B54" s="6" t="s">
        <v>154</v>
      </c>
      <c r="C54" s="7" t="s">
        <v>271</v>
      </c>
      <c r="D54" s="6" t="s">
        <v>272</v>
      </c>
      <c r="E54" s="5" t="s">
        <v>26</v>
      </c>
      <c r="F54" s="8" t="n">
        <f aca="false">COUNTA(G54:K54)</f>
        <v>4</v>
      </c>
      <c r="G54" s="9" t="s">
        <v>273</v>
      </c>
      <c r="H54" s="9" t="s">
        <v>274</v>
      </c>
      <c r="I54" s="9" t="s">
        <v>265</v>
      </c>
      <c r="J54" s="9" t="s">
        <v>275</v>
      </c>
      <c r="K54" s="6"/>
      <c r="L54" s="6"/>
      <c r="M54" s="5" t="s">
        <v>23</v>
      </c>
    </row>
    <row r="55" customFormat="false" ht="16.5" hidden="false" customHeight="true" outlineLevel="0" collapsed="false">
      <c r="A55" s="5" t="n">
        <v>52</v>
      </c>
      <c r="B55" s="6" t="s">
        <v>154</v>
      </c>
      <c r="C55" s="7" t="s">
        <v>276</v>
      </c>
      <c r="D55" s="6" t="s">
        <v>277</v>
      </c>
      <c r="E55" s="5" t="s">
        <v>26</v>
      </c>
      <c r="F55" s="8" t="n">
        <f aca="false">COUNTA(G55:K55)</f>
        <v>1</v>
      </c>
      <c r="G55" s="6"/>
      <c r="H55" s="6"/>
      <c r="I55" s="9" t="s">
        <v>278</v>
      </c>
      <c r="J55" s="6"/>
      <c r="K55" s="6"/>
      <c r="L55" s="6"/>
      <c r="M55" s="5" t="s">
        <v>23</v>
      </c>
    </row>
    <row r="56" customFormat="false" ht="30" hidden="false" customHeight="true" outlineLevel="0" collapsed="false">
      <c r="A56" s="5" t="n">
        <v>53</v>
      </c>
      <c r="B56" s="6" t="s">
        <v>154</v>
      </c>
      <c r="C56" s="7" t="s">
        <v>279</v>
      </c>
      <c r="D56" s="6" t="s">
        <v>280</v>
      </c>
      <c r="E56" s="5" t="s">
        <v>26</v>
      </c>
      <c r="F56" s="8" t="n">
        <f aca="false">COUNTA(G56:K56)</f>
        <v>1</v>
      </c>
      <c r="G56" s="6"/>
      <c r="H56" s="6"/>
      <c r="I56" s="9" t="s">
        <v>281</v>
      </c>
      <c r="J56" s="6"/>
      <c r="K56" s="6"/>
      <c r="L56" s="6"/>
      <c r="M56" s="5" t="s">
        <v>23</v>
      </c>
    </row>
    <row r="57" customFormat="false" ht="43.5" hidden="false" customHeight="true" outlineLevel="0" collapsed="false">
      <c r="A57" s="5" t="n">
        <v>54</v>
      </c>
      <c r="B57" s="6" t="s">
        <v>154</v>
      </c>
      <c r="C57" s="7" t="s">
        <v>282</v>
      </c>
      <c r="D57" s="6" t="s">
        <v>283</v>
      </c>
      <c r="E57" s="5" t="s">
        <v>18</v>
      </c>
      <c r="F57" s="8" t="n">
        <f aca="false">COUNTA(G57:K57)</f>
        <v>1</v>
      </c>
      <c r="G57" s="9" t="s">
        <v>284</v>
      </c>
      <c r="H57" s="6"/>
      <c r="I57" s="6"/>
      <c r="J57" s="6"/>
      <c r="K57" s="6"/>
      <c r="L57" s="6"/>
      <c r="M57" s="5" t="s">
        <v>23</v>
      </c>
    </row>
    <row r="58" customFormat="false" ht="109.5" hidden="false" customHeight="true" outlineLevel="0" collapsed="false">
      <c r="A58" s="11" t="n">
        <v>55</v>
      </c>
      <c r="B58" s="12" t="s">
        <v>285</v>
      </c>
      <c r="C58" s="13" t="s">
        <v>286</v>
      </c>
      <c r="D58" s="12" t="s">
        <v>287</v>
      </c>
      <c r="E58" s="11" t="s">
        <v>37</v>
      </c>
      <c r="F58" s="14" t="n">
        <f aca="false">COUNTA(G58:K58)</f>
        <v>5</v>
      </c>
      <c r="G58" s="15" t="s">
        <v>288</v>
      </c>
      <c r="H58" s="15" t="s">
        <v>289</v>
      </c>
      <c r="I58" s="15" t="s">
        <v>290</v>
      </c>
      <c r="J58" s="15" t="s">
        <v>291</v>
      </c>
      <c r="K58" s="15" t="s">
        <v>292</v>
      </c>
      <c r="L58" s="12"/>
      <c r="M58" s="11" t="s">
        <v>23</v>
      </c>
    </row>
    <row r="59" customFormat="false" ht="82.5" hidden="false" customHeight="true" outlineLevel="0" collapsed="false">
      <c r="A59" s="5" t="n">
        <v>56</v>
      </c>
      <c r="B59" s="6" t="s">
        <v>285</v>
      </c>
      <c r="C59" s="7" t="s">
        <v>293</v>
      </c>
      <c r="D59" s="6" t="s">
        <v>294</v>
      </c>
      <c r="E59" s="5" t="s">
        <v>37</v>
      </c>
      <c r="F59" s="8" t="n">
        <f aca="false">COUNTA(G59:K59)</f>
        <v>5</v>
      </c>
      <c r="G59" s="9" t="s">
        <v>288</v>
      </c>
      <c r="H59" s="9" t="s">
        <v>295</v>
      </c>
      <c r="I59" s="9" t="s">
        <v>290</v>
      </c>
      <c r="J59" s="9" t="s">
        <v>296</v>
      </c>
      <c r="K59" s="9" t="s">
        <v>297</v>
      </c>
      <c r="L59" s="6"/>
      <c r="M59" s="5" t="s">
        <v>23</v>
      </c>
    </row>
    <row r="60" customFormat="false" ht="56.25" hidden="false" customHeight="true" outlineLevel="0" collapsed="false">
      <c r="A60" s="5" t="n">
        <v>57</v>
      </c>
      <c r="B60" s="6" t="s">
        <v>285</v>
      </c>
      <c r="C60" s="7" t="s">
        <v>298</v>
      </c>
      <c r="D60" s="6" t="s">
        <v>299</v>
      </c>
      <c r="E60" s="5" t="s">
        <v>37</v>
      </c>
      <c r="F60" s="8" t="n">
        <f aca="false">COUNTA(G60:K60)</f>
        <v>4</v>
      </c>
      <c r="G60" s="9" t="s">
        <v>288</v>
      </c>
      <c r="H60" s="9" t="s">
        <v>300</v>
      </c>
      <c r="I60" s="6"/>
      <c r="J60" s="9" t="s">
        <v>301</v>
      </c>
      <c r="K60" s="9" t="s">
        <v>302</v>
      </c>
      <c r="L60" s="6"/>
      <c r="M60" s="5" t="s">
        <v>23</v>
      </c>
    </row>
    <row r="61" customFormat="false" ht="43.5" hidden="false" customHeight="true" outlineLevel="0" collapsed="false">
      <c r="A61" s="5" t="n">
        <v>58</v>
      </c>
      <c r="B61" s="6" t="s">
        <v>285</v>
      </c>
      <c r="C61" s="7" t="s">
        <v>303</v>
      </c>
      <c r="D61" s="6" t="s">
        <v>304</v>
      </c>
      <c r="E61" s="5" t="s">
        <v>26</v>
      </c>
      <c r="F61" s="8" t="n">
        <f aca="false">COUNTA(G61:K61)</f>
        <v>1</v>
      </c>
      <c r="G61" s="9" t="s">
        <v>288</v>
      </c>
      <c r="H61" s="6"/>
      <c r="I61" s="6"/>
      <c r="J61" s="6"/>
      <c r="K61" s="6"/>
      <c r="L61" s="6" t="s">
        <v>305</v>
      </c>
      <c r="M61" s="5" t="s">
        <v>23</v>
      </c>
    </row>
    <row r="62" customFormat="false" ht="43.5" hidden="false" customHeight="true" outlineLevel="0" collapsed="false">
      <c r="A62" s="5" t="n">
        <v>59</v>
      </c>
      <c r="B62" s="6" t="s">
        <v>285</v>
      </c>
      <c r="C62" s="7" t="s">
        <v>306</v>
      </c>
      <c r="D62" s="6" t="s">
        <v>307</v>
      </c>
      <c r="E62" s="5" t="s">
        <v>26</v>
      </c>
      <c r="F62" s="8" t="n">
        <f aca="false">COUNTA(G62:K62)</f>
        <v>4</v>
      </c>
      <c r="G62" s="9" t="s">
        <v>288</v>
      </c>
      <c r="H62" s="9" t="s">
        <v>308</v>
      </c>
      <c r="I62" s="6"/>
      <c r="J62" s="9" t="s">
        <v>301</v>
      </c>
      <c r="K62" s="9" t="s">
        <v>309</v>
      </c>
      <c r="L62" s="6"/>
      <c r="M62" s="5" t="s">
        <v>23</v>
      </c>
    </row>
    <row r="63" customFormat="false" ht="43.5" hidden="false" customHeight="true" outlineLevel="0" collapsed="false">
      <c r="A63" s="5" t="n">
        <v>60</v>
      </c>
      <c r="B63" s="6" t="s">
        <v>285</v>
      </c>
      <c r="C63" s="7" t="s">
        <v>310</v>
      </c>
      <c r="D63" s="6" t="s">
        <v>311</v>
      </c>
      <c r="E63" s="5" t="s">
        <v>26</v>
      </c>
      <c r="F63" s="8" t="n">
        <f aca="false">COUNTA(G63:K63)</f>
        <v>1</v>
      </c>
      <c r="G63" s="6"/>
      <c r="H63" s="6"/>
      <c r="I63" s="6"/>
      <c r="J63" s="6"/>
      <c r="K63" s="9" t="s">
        <v>312</v>
      </c>
      <c r="L63" s="6"/>
      <c r="M63" s="5" t="s">
        <v>23</v>
      </c>
    </row>
    <row r="64" customFormat="false" ht="43.5" hidden="false" customHeight="true" outlineLevel="0" collapsed="false">
      <c r="A64" s="5" t="n">
        <v>61</v>
      </c>
      <c r="B64" s="6" t="s">
        <v>285</v>
      </c>
      <c r="C64" s="7" t="s">
        <v>313</v>
      </c>
      <c r="D64" s="6" t="s">
        <v>314</v>
      </c>
      <c r="E64" s="5" t="s">
        <v>26</v>
      </c>
      <c r="F64" s="8" t="n">
        <f aca="false">COUNTA(G64:K64)</f>
        <v>0</v>
      </c>
      <c r="G64" s="6"/>
      <c r="H64" s="6"/>
      <c r="I64" s="6"/>
      <c r="J64" s="6"/>
      <c r="K64" s="6"/>
      <c r="L64" s="10" t="s">
        <v>315</v>
      </c>
      <c r="M64" s="5" t="s">
        <v>23</v>
      </c>
    </row>
    <row r="65" customFormat="false" ht="56.25" hidden="false" customHeight="true" outlineLevel="0" collapsed="false">
      <c r="A65" s="11" t="n">
        <v>62</v>
      </c>
      <c r="B65" s="12" t="s">
        <v>316</v>
      </c>
      <c r="C65" s="13" t="s">
        <v>317</v>
      </c>
      <c r="D65" s="12" t="s">
        <v>318</v>
      </c>
      <c r="E65" s="11" t="s">
        <v>37</v>
      </c>
      <c r="F65" s="14" t="n">
        <f aca="false">COUNTA(G65:K65)</f>
        <v>4</v>
      </c>
      <c r="G65" s="15" t="s">
        <v>319</v>
      </c>
      <c r="H65" s="15" t="s">
        <v>320</v>
      </c>
      <c r="I65" s="15" t="s">
        <v>321</v>
      </c>
      <c r="J65" s="15" t="s">
        <v>322</v>
      </c>
      <c r="K65" s="12"/>
      <c r="L65" s="12"/>
      <c r="M65" s="11" t="s">
        <v>23</v>
      </c>
    </row>
    <row r="66" customFormat="false" ht="56.25" hidden="false" customHeight="true" outlineLevel="0" collapsed="false">
      <c r="A66" s="5" t="n">
        <v>63</v>
      </c>
      <c r="B66" s="6" t="s">
        <v>316</v>
      </c>
      <c r="C66" s="7" t="s">
        <v>323</v>
      </c>
      <c r="D66" s="6" t="s">
        <v>324</v>
      </c>
      <c r="E66" s="5" t="s">
        <v>37</v>
      </c>
      <c r="F66" s="8" t="n">
        <f aca="false">COUNTA(G66:K66)</f>
        <v>1</v>
      </c>
      <c r="G66" s="6"/>
      <c r="H66" s="6"/>
      <c r="I66" s="6"/>
      <c r="J66" s="9" t="s">
        <v>325</v>
      </c>
      <c r="K66" s="6"/>
      <c r="L66" s="6"/>
      <c r="M66" s="5" t="s">
        <v>23</v>
      </c>
    </row>
    <row r="67" customFormat="false" ht="30" hidden="false" customHeight="true" outlineLevel="0" collapsed="false">
      <c r="A67" s="5" t="n">
        <v>64</v>
      </c>
      <c r="B67" s="6" t="s">
        <v>316</v>
      </c>
      <c r="C67" s="7" t="s">
        <v>326</v>
      </c>
      <c r="D67" s="6" t="s">
        <v>327</v>
      </c>
      <c r="E67" s="5" t="s">
        <v>26</v>
      </c>
      <c r="F67" s="8" t="n">
        <f aca="false">COUNTA(G67:K67)</f>
        <v>0</v>
      </c>
      <c r="G67" s="6"/>
      <c r="H67" s="6"/>
      <c r="I67" s="6"/>
      <c r="J67" s="6"/>
      <c r="K67" s="6"/>
      <c r="L67" s="10" t="s">
        <v>328</v>
      </c>
      <c r="M67" s="5" t="s">
        <v>23</v>
      </c>
    </row>
    <row r="68" customFormat="false" ht="56.25" hidden="false" customHeight="true" outlineLevel="0" collapsed="false">
      <c r="A68" s="11" t="n">
        <v>65</v>
      </c>
      <c r="B68" s="12" t="s">
        <v>329</v>
      </c>
      <c r="C68" s="13" t="s">
        <v>330</v>
      </c>
      <c r="D68" s="12" t="s">
        <v>331</v>
      </c>
      <c r="E68" s="11" t="s">
        <v>37</v>
      </c>
      <c r="F68" s="14" t="n">
        <f aca="false">COUNTA(G68:K68)</f>
        <v>5</v>
      </c>
      <c r="G68" s="15" t="s">
        <v>332</v>
      </c>
      <c r="H68" s="15" t="s">
        <v>333</v>
      </c>
      <c r="I68" s="15" t="s">
        <v>334</v>
      </c>
      <c r="J68" s="15" t="s">
        <v>335</v>
      </c>
      <c r="K68" s="15" t="s">
        <v>336</v>
      </c>
      <c r="L68" s="12"/>
      <c r="M68" s="11" t="s">
        <v>23</v>
      </c>
    </row>
    <row r="69" customFormat="false" ht="43.5" hidden="false" customHeight="true" outlineLevel="0" collapsed="false">
      <c r="A69" s="5" t="n">
        <v>66</v>
      </c>
      <c r="B69" s="6" t="s">
        <v>329</v>
      </c>
      <c r="C69" s="7" t="s">
        <v>337</v>
      </c>
      <c r="D69" s="6" t="s">
        <v>338</v>
      </c>
      <c r="E69" s="5" t="s">
        <v>26</v>
      </c>
      <c r="F69" s="8" t="n">
        <f aca="false">COUNTA(G69:K69)</f>
        <v>1</v>
      </c>
      <c r="G69" s="6"/>
      <c r="H69" s="6"/>
      <c r="I69" s="6"/>
      <c r="J69" s="9" t="s">
        <v>339</v>
      </c>
      <c r="K69" s="6"/>
      <c r="L69" s="6" t="s">
        <v>340</v>
      </c>
      <c r="M69" s="5" t="s">
        <v>23</v>
      </c>
    </row>
    <row r="70" customFormat="false" ht="43.5" hidden="false" customHeight="true" outlineLevel="0" collapsed="false">
      <c r="A70" s="5" t="n">
        <v>67</v>
      </c>
      <c r="B70" s="6" t="s">
        <v>329</v>
      </c>
      <c r="C70" s="7" t="s">
        <v>341</v>
      </c>
      <c r="D70" s="6" t="s">
        <v>342</v>
      </c>
      <c r="E70" s="5" t="s">
        <v>37</v>
      </c>
      <c r="F70" s="8" t="n">
        <f aca="false">COUNTA(G70:K70)</f>
        <v>4</v>
      </c>
      <c r="G70" s="9" t="s">
        <v>332</v>
      </c>
      <c r="H70" s="9" t="s">
        <v>343</v>
      </c>
      <c r="I70" s="9" t="s">
        <v>344</v>
      </c>
      <c r="J70" s="9" t="s">
        <v>345</v>
      </c>
      <c r="K70" s="6"/>
      <c r="L70" s="6"/>
      <c r="M70" s="5" t="s">
        <v>23</v>
      </c>
    </row>
    <row r="71" customFormat="false" ht="56.25" hidden="false" customHeight="true" outlineLevel="0" collapsed="false">
      <c r="A71" s="5" t="n">
        <v>68</v>
      </c>
      <c r="B71" s="6" t="s">
        <v>329</v>
      </c>
      <c r="C71" s="7" t="s">
        <v>346</v>
      </c>
      <c r="D71" s="6" t="s">
        <v>347</v>
      </c>
      <c r="E71" s="5" t="s">
        <v>26</v>
      </c>
      <c r="F71" s="8" t="n">
        <f aca="false">COUNTA(G71:K71)</f>
        <v>4</v>
      </c>
      <c r="G71" s="9" t="s">
        <v>332</v>
      </c>
      <c r="H71" s="9" t="s">
        <v>348</v>
      </c>
      <c r="I71" s="9" t="s">
        <v>349</v>
      </c>
      <c r="J71" s="9" t="s">
        <v>350</v>
      </c>
      <c r="K71" s="6"/>
      <c r="L71" s="6"/>
      <c r="M71" s="5" t="s">
        <v>23</v>
      </c>
    </row>
    <row r="72" customFormat="false" ht="82.5" hidden="false" customHeight="true" outlineLevel="0" collapsed="false">
      <c r="A72" s="5" t="n">
        <v>69</v>
      </c>
      <c r="B72" s="6" t="s">
        <v>329</v>
      </c>
      <c r="C72" s="7" t="s">
        <v>351</v>
      </c>
      <c r="D72" s="6" t="s">
        <v>352</v>
      </c>
      <c r="E72" s="5" t="s">
        <v>37</v>
      </c>
      <c r="F72" s="8" t="n">
        <f aca="false">COUNTA(G72:K72)</f>
        <v>4</v>
      </c>
      <c r="G72" s="9" t="s">
        <v>332</v>
      </c>
      <c r="H72" s="9" t="s">
        <v>353</v>
      </c>
      <c r="I72" s="9" t="s">
        <v>354</v>
      </c>
      <c r="J72" s="9" t="s">
        <v>350</v>
      </c>
      <c r="K72" s="6"/>
      <c r="L72" s="6"/>
      <c r="M72" s="5" t="s">
        <v>23</v>
      </c>
    </row>
    <row r="73" customFormat="false" ht="69.75" hidden="false" customHeight="true" outlineLevel="0" collapsed="false">
      <c r="A73" s="5" t="n">
        <v>70</v>
      </c>
      <c r="B73" s="6" t="s">
        <v>329</v>
      </c>
      <c r="C73" s="7" t="s">
        <v>355</v>
      </c>
      <c r="D73" s="6" t="s">
        <v>356</v>
      </c>
      <c r="E73" s="5" t="s">
        <v>26</v>
      </c>
      <c r="F73" s="8" t="n">
        <f aca="false">COUNTA(G73:K73)</f>
        <v>3</v>
      </c>
      <c r="G73" s="6"/>
      <c r="H73" s="9" t="s">
        <v>357</v>
      </c>
      <c r="I73" s="9" t="s">
        <v>358</v>
      </c>
      <c r="J73" s="9" t="s">
        <v>359</v>
      </c>
      <c r="K73" s="6"/>
      <c r="L73" s="6"/>
      <c r="M73" s="5" t="s">
        <v>23</v>
      </c>
    </row>
    <row r="74" customFormat="false" ht="56.25" hidden="false" customHeight="true" outlineLevel="0" collapsed="false">
      <c r="A74" s="5" t="n">
        <v>71</v>
      </c>
      <c r="B74" s="6" t="s">
        <v>329</v>
      </c>
      <c r="C74" s="7" t="s">
        <v>360</v>
      </c>
      <c r="D74" s="6" t="s">
        <v>361</v>
      </c>
      <c r="E74" s="5" t="s">
        <v>26</v>
      </c>
      <c r="F74" s="8" t="n">
        <f aca="false">COUNTA(G74:K74)</f>
        <v>2</v>
      </c>
      <c r="G74" s="6"/>
      <c r="H74" s="6"/>
      <c r="I74" s="9" t="s">
        <v>362</v>
      </c>
      <c r="J74" s="9" t="s">
        <v>363</v>
      </c>
      <c r="K74" s="6"/>
      <c r="L74" s="6"/>
      <c r="M74" s="5" t="s">
        <v>23</v>
      </c>
    </row>
    <row r="75" customFormat="false" ht="56.25" hidden="false" customHeight="true" outlineLevel="0" collapsed="false">
      <c r="A75" s="5" t="n">
        <v>72</v>
      </c>
      <c r="B75" s="6" t="s">
        <v>329</v>
      </c>
      <c r="C75" s="7" t="s">
        <v>364</v>
      </c>
      <c r="D75" s="6" t="s">
        <v>365</v>
      </c>
      <c r="E75" s="5" t="s">
        <v>37</v>
      </c>
      <c r="F75" s="8" t="n">
        <f aca="false">COUNTA(G75:K75)</f>
        <v>2</v>
      </c>
      <c r="G75" s="6"/>
      <c r="H75" s="6"/>
      <c r="I75" s="9" t="s">
        <v>366</v>
      </c>
      <c r="J75" s="9" t="s">
        <v>367</v>
      </c>
      <c r="K75" s="6"/>
      <c r="L75" s="6"/>
      <c r="M75" s="5" t="s">
        <v>23</v>
      </c>
    </row>
    <row r="76" customFormat="false" ht="30" hidden="false" customHeight="true" outlineLevel="0" collapsed="false">
      <c r="A76" s="5" t="n">
        <v>73</v>
      </c>
      <c r="B76" s="6" t="s">
        <v>329</v>
      </c>
      <c r="C76" s="7" t="s">
        <v>368</v>
      </c>
      <c r="D76" s="6" t="s">
        <v>369</v>
      </c>
      <c r="E76" s="5" t="s">
        <v>26</v>
      </c>
      <c r="F76" s="8" t="n">
        <f aca="false">COUNTA(G76:K76)</f>
        <v>1</v>
      </c>
      <c r="G76" s="6"/>
      <c r="H76" s="6"/>
      <c r="I76" s="6"/>
      <c r="J76" s="9" t="s">
        <v>370</v>
      </c>
      <c r="K76" s="6"/>
      <c r="L76" s="6"/>
      <c r="M76" s="5" t="s">
        <v>23</v>
      </c>
    </row>
    <row r="77" customFormat="false" ht="30" hidden="false" customHeight="true" outlineLevel="0" collapsed="false">
      <c r="A77" s="5" t="n">
        <v>74</v>
      </c>
      <c r="B77" s="6" t="s">
        <v>329</v>
      </c>
      <c r="C77" s="7" t="s">
        <v>371</v>
      </c>
      <c r="D77" s="6" t="s">
        <v>372</v>
      </c>
      <c r="E77" s="5" t="s">
        <v>26</v>
      </c>
      <c r="F77" s="8" t="n">
        <f aca="false">COUNTA(G77:K77)</f>
        <v>0</v>
      </c>
      <c r="G77" s="6"/>
      <c r="H77" s="6"/>
      <c r="I77" s="6"/>
      <c r="J77" s="6"/>
      <c r="K77" s="6"/>
      <c r="L77" s="10" t="s">
        <v>373</v>
      </c>
      <c r="M77" s="5" t="s">
        <v>23</v>
      </c>
    </row>
    <row r="78" customFormat="false" ht="30" hidden="false" customHeight="true" outlineLevel="0" collapsed="false">
      <c r="A78" s="5" t="n">
        <v>75</v>
      </c>
      <c r="B78" s="6" t="s">
        <v>329</v>
      </c>
      <c r="C78" s="7" t="s">
        <v>374</v>
      </c>
      <c r="D78" s="6" t="s">
        <v>375</v>
      </c>
      <c r="E78" s="5" t="s">
        <v>37</v>
      </c>
      <c r="F78" s="8" t="n">
        <f aca="false">COUNTA(G78:K78)</f>
        <v>0</v>
      </c>
      <c r="G78" s="6"/>
      <c r="H78" s="6"/>
      <c r="I78" s="6"/>
      <c r="J78" s="6"/>
      <c r="K78" s="6"/>
      <c r="L78" s="10" t="s">
        <v>376</v>
      </c>
      <c r="M78" s="5" t="s">
        <v>23</v>
      </c>
    </row>
    <row r="79" customFormat="false" ht="82.5" hidden="false" customHeight="true" outlineLevel="0" collapsed="false">
      <c r="A79" s="11" t="n">
        <v>76</v>
      </c>
      <c r="B79" s="12" t="s">
        <v>377</v>
      </c>
      <c r="C79" s="13" t="s">
        <v>378</v>
      </c>
      <c r="D79" s="12" t="s">
        <v>379</v>
      </c>
      <c r="E79" s="11" t="s">
        <v>37</v>
      </c>
      <c r="F79" s="14" t="n">
        <f aca="false">COUNTA(G79:K79)</f>
        <v>3</v>
      </c>
      <c r="G79" s="12"/>
      <c r="H79" s="15" t="s">
        <v>380</v>
      </c>
      <c r="I79" s="15" t="s">
        <v>381</v>
      </c>
      <c r="J79" s="15" t="s">
        <v>382</v>
      </c>
      <c r="K79" s="12"/>
      <c r="L79" s="12"/>
      <c r="M79" s="11" t="s">
        <v>23</v>
      </c>
    </row>
    <row r="80" customFormat="false" ht="109.5" hidden="false" customHeight="true" outlineLevel="0" collapsed="false">
      <c r="A80" s="5" t="n">
        <v>77</v>
      </c>
      <c r="B80" s="6" t="s">
        <v>377</v>
      </c>
      <c r="C80" s="7" t="s">
        <v>383</v>
      </c>
      <c r="D80" s="6" t="s">
        <v>384</v>
      </c>
      <c r="E80" s="5" t="s">
        <v>37</v>
      </c>
      <c r="F80" s="8" t="n">
        <f aca="false">COUNTA(G80:K80)</f>
        <v>3</v>
      </c>
      <c r="G80" s="6"/>
      <c r="H80" s="9" t="s">
        <v>385</v>
      </c>
      <c r="I80" s="9" t="s">
        <v>381</v>
      </c>
      <c r="J80" s="9" t="s">
        <v>382</v>
      </c>
      <c r="K80" s="6"/>
      <c r="L80" s="6"/>
      <c r="M80" s="5" t="s">
        <v>23</v>
      </c>
    </row>
    <row r="81" customFormat="false" ht="69.75" hidden="false" customHeight="true" outlineLevel="0" collapsed="false">
      <c r="A81" s="5" t="n">
        <v>78</v>
      </c>
      <c r="B81" s="6" t="s">
        <v>377</v>
      </c>
      <c r="C81" s="7" t="s">
        <v>386</v>
      </c>
      <c r="D81" s="6" t="s">
        <v>387</v>
      </c>
      <c r="E81" s="5" t="s">
        <v>26</v>
      </c>
      <c r="F81" s="8" t="n">
        <f aca="false">COUNTA(G81:K81)</f>
        <v>2</v>
      </c>
      <c r="G81" s="6"/>
      <c r="H81" s="9" t="s">
        <v>388</v>
      </c>
      <c r="I81" s="6"/>
      <c r="J81" s="9" t="s">
        <v>389</v>
      </c>
      <c r="K81" s="6"/>
      <c r="L81" s="6"/>
      <c r="M81" s="5" t="s">
        <v>23</v>
      </c>
    </row>
    <row r="82" customFormat="false" ht="82.5" hidden="false" customHeight="true" outlineLevel="0" collapsed="false">
      <c r="A82" s="5" t="n">
        <v>79</v>
      </c>
      <c r="B82" s="6" t="s">
        <v>377</v>
      </c>
      <c r="C82" s="7" t="s">
        <v>390</v>
      </c>
      <c r="D82" s="6" t="s">
        <v>391</v>
      </c>
      <c r="E82" s="5" t="s">
        <v>26</v>
      </c>
      <c r="F82" s="8" t="n">
        <f aca="false">COUNTA(G82:K82)</f>
        <v>3</v>
      </c>
      <c r="G82" s="6"/>
      <c r="H82" s="9" t="s">
        <v>392</v>
      </c>
      <c r="I82" s="9" t="s">
        <v>393</v>
      </c>
      <c r="J82" s="9" t="s">
        <v>394</v>
      </c>
      <c r="K82" s="6"/>
      <c r="L82" s="6"/>
      <c r="M82" s="5" t="s">
        <v>23</v>
      </c>
    </row>
    <row r="83" customFormat="false" ht="56.25" hidden="false" customHeight="true" outlineLevel="0" collapsed="false">
      <c r="A83" s="5" t="n">
        <v>80</v>
      </c>
      <c r="B83" s="6" t="s">
        <v>377</v>
      </c>
      <c r="C83" s="7" t="s">
        <v>395</v>
      </c>
      <c r="D83" s="6" t="s">
        <v>396</v>
      </c>
      <c r="E83" s="5" t="s">
        <v>37</v>
      </c>
      <c r="F83" s="8" t="n">
        <f aca="false">COUNTA(G83:K83)</f>
        <v>4</v>
      </c>
      <c r="G83" s="9" t="s">
        <v>332</v>
      </c>
      <c r="H83" s="9" t="s">
        <v>397</v>
      </c>
      <c r="I83" s="9" t="s">
        <v>398</v>
      </c>
      <c r="J83" s="9" t="s">
        <v>399</v>
      </c>
      <c r="K83" s="6"/>
      <c r="L83" s="6"/>
      <c r="M83" s="5" t="s">
        <v>23</v>
      </c>
    </row>
    <row r="84" customFormat="false" ht="30" hidden="false" customHeight="true" outlineLevel="0" collapsed="false">
      <c r="A84" s="5" t="n">
        <v>81</v>
      </c>
      <c r="B84" s="6" t="s">
        <v>377</v>
      </c>
      <c r="C84" s="7" t="s">
        <v>400</v>
      </c>
      <c r="D84" s="6" t="s">
        <v>401</v>
      </c>
      <c r="E84" s="5" t="s">
        <v>37</v>
      </c>
      <c r="F84" s="8" t="n">
        <f aca="false">COUNTA(G84:K84)</f>
        <v>2</v>
      </c>
      <c r="G84" s="6"/>
      <c r="H84" s="9" t="s">
        <v>402</v>
      </c>
      <c r="I84" s="6"/>
      <c r="J84" s="9" t="s">
        <v>403</v>
      </c>
      <c r="K84" s="6"/>
      <c r="L84" s="6"/>
      <c r="M84" s="5" t="s">
        <v>23</v>
      </c>
    </row>
    <row r="85" customFormat="false" ht="30" hidden="false" customHeight="true" outlineLevel="0" collapsed="false">
      <c r="A85" s="5" t="n">
        <v>82</v>
      </c>
      <c r="B85" s="6" t="s">
        <v>377</v>
      </c>
      <c r="C85" s="7" t="s">
        <v>404</v>
      </c>
      <c r="D85" s="6" t="s">
        <v>405</v>
      </c>
      <c r="E85" s="5" t="s">
        <v>26</v>
      </c>
      <c r="F85" s="8" t="n">
        <f aca="false">COUNTA(G85:K85)</f>
        <v>1</v>
      </c>
      <c r="G85" s="6"/>
      <c r="H85" s="6"/>
      <c r="I85" s="6"/>
      <c r="J85" s="9" t="s">
        <v>406</v>
      </c>
      <c r="K85" s="6"/>
      <c r="L85" s="6"/>
      <c r="M85" s="5" t="s">
        <v>23</v>
      </c>
    </row>
    <row r="86" customFormat="false" ht="30" hidden="false" customHeight="true" outlineLevel="0" collapsed="false">
      <c r="A86" s="5" t="n">
        <v>83</v>
      </c>
      <c r="B86" s="6" t="s">
        <v>377</v>
      </c>
      <c r="C86" s="7" t="s">
        <v>407</v>
      </c>
      <c r="D86" s="6" t="s">
        <v>408</v>
      </c>
      <c r="E86" s="5" t="s">
        <v>18</v>
      </c>
      <c r="F86" s="8" t="n">
        <f aca="false">COUNTA(G86:K86)</f>
        <v>0</v>
      </c>
      <c r="G86" s="6"/>
      <c r="H86" s="6"/>
      <c r="I86" s="6"/>
      <c r="J86" s="6"/>
      <c r="K86" s="6"/>
      <c r="L86" s="10" t="s">
        <v>409</v>
      </c>
      <c r="M86" s="5" t="s">
        <v>23</v>
      </c>
    </row>
    <row r="87" customFormat="false" ht="43.5" hidden="false" customHeight="true" outlineLevel="0" collapsed="false">
      <c r="A87" s="11" t="n">
        <v>84</v>
      </c>
      <c r="B87" s="12" t="s">
        <v>410</v>
      </c>
      <c r="C87" s="13" t="s">
        <v>411</v>
      </c>
      <c r="D87" s="12" t="s">
        <v>412</v>
      </c>
      <c r="E87" s="11" t="s">
        <v>26</v>
      </c>
      <c r="F87" s="14" t="n">
        <f aca="false">COUNTA(G87:K87)</f>
        <v>3</v>
      </c>
      <c r="G87" s="12"/>
      <c r="H87" s="12"/>
      <c r="I87" s="15" t="s">
        <v>413</v>
      </c>
      <c r="J87" s="15" t="s">
        <v>86</v>
      </c>
      <c r="K87" s="15" t="s">
        <v>414</v>
      </c>
      <c r="L87" s="12"/>
      <c r="M87" s="11" t="s">
        <v>23</v>
      </c>
    </row>
    <row r="88" customFormat="false" ht="96" hidden="false" customHeight="true" outlineLevel="0" collapsed="false">
      <c r="A88" s="5" t="n">
        <v>85</v>
      </c>
      <c r="B88" s="6" t="s">
        <v>410</v>
      </c>
      <c r="C88" s="7" t="s">
        <v>415</v>
      </c>
      <c r="D88" s="6" t="s">
        <v>416</v>
      </c>
      <c r="E88" s="5" t="s">
        <v>26</v>
      </c>
      <c r="F88" s="8" t="n">
        <f aca="false">COUNTA(G88:K88)</f>
        <v>1</v>
      </c>
      <c r="G88" s="6"/>
      <c r="H88" s="6"/>
      <c r="I88" s="9" t="s">
        <v>417</v>
      </c>
      <c r="J88" s="6"/>
      <c r="K88" s="6"/>
      <c r="L88" s="6"/>
      <c r="M88" s="5" t="s">
        <v>23</v>
      </c>
    </row>
    <row r="89" customFormat="false" ht="30" hidden="false" customHeight="true" outlineLevel="0" collapsed="false">
      <c r="A89" s="5" t="n">
        <v>86</v>
      </c>
      <c r="B89" s="6" t="s">
        <v>410</v>
      </c>
      <c r="C89" s="7" t="s">
        <v>418</v>
      </c>
      <c r="D89" s="6" t="s">
        <v>419</v>
      </c>
      <c r="E89" s="5" t="s">
        <v>26</v>
      </c>
      <c r="F89" s="8" t="n">
        <f aca="false">COUNTA(G89:K89)</f>
        <v>0</v>
      </c>
      <c r="G89" s="6"/>
      <c r="H89" s="6"/>
      <c r="I89" s="6"/>
      <c r="J89" s="6"/>
      <c r="K89" s="6"/>
      <c r="L89" s="10" t="s">
        <v>420</v>
      </c>
      <c r="M89" s="5" t="s">
        <v>23</v>
      </c>
    </row>
    <row r="90" customFormat="false" ht="30" hidden="false" customHeight="true" outlineLevel="0" collapsed="false">
      <c r="A90" s="5" t="n">
        <v>87</v>
      </c>
      <c r="B90" s="6" t="s">
        <v>410</v>
      </c>
      <c r="C90" s="7" t="s">
        <v>421</v>
      </c>
      <c r="D90" s="6" t="s">
        <v>422</v>
      </c>
      <c r="E90" s="5" t="s">
        <v>18</v>
      </c>
      <c r="F90" s="8" t="n">
        <f aca="false">COUNTA(G90:K90)</f>
        <v>0</v>
      </c>
      <c r="G90" s="6"/>
      <c r="H90" s="6"/>
      <c r="I90" s="6"/>
      <c r="J90" s="6"/>
      <c r="K90" s="6"/>
      <c r="L90" s="10" t="s">
        <v>423</v>
      </c>
      <c r="M90" s="5" t="s">
        <v>23</v>
      </c>
    </row>
    <row r="91" customFormat="false" ht="30" hidden="false" customHeight="true" outlineLevel="0" collapsed="false">
      <c r="A91" s="5" t="n">
        <v>88</v>
      </c>
      <c r="B91" s="6" t="s">
        <v>410</v>
      </c>
      <c r="C91" s="7" t="s">
        <v>424</v>
      </c>
      <c r="D91" s="6" t="s">
        <v>425</v>
      </c>
      <c r="E91" s="5" t="s">
        <v>26</v>
      </c>
      <c r="F91" s="8" t="n">
        <f aca="false">COUNTA(G91:K91)</f>
        <v>0</v>
      </c>
      <c r="G91" s="6"/>
      <c r="H91" s="6"/>
      <c r="I91" s="6"/>
      <c r="J91" s="6"/>
      <c r="K91" s="6"/>
      <c r="L91" s="10" t="s">
        <v>426</v>
      </c>
      <c r="M91" s="5" t="s">
        <v>23</v>
      </c>
    </row>
    <row r="92" customFormat="false" ht="30" hidden="false" customHeight="true" outlineLevel="0" collapsed="false">
      <c r="A92" s="5" t="n">
        <v>89</v>
      </c>
      <c r="B92" s="6" t="s">
        <v>410</v>
      </c>
      <c r="C92" s="7" t="s">
        <v>427</v>
      </c>
      <c r="D92" s="6" t="s">
        <v>428</v>
      </c>
      <c r="E92" s="5" t="s">
        <v>26</v>
      </c>
      <c r="F92" s="8" t="n">
        <f aca="false">COUNTA(G92:K92)</f>
        <v>0</v>
      </c>
      <c r="G92" s="6"/>
      <c r="H92" s="6"/>
      <c r="I92" s="6"/>
      <c r="J92" s="6"/>
      <c r="K92" s="6"/>
      <c r="L92" s="10" t="s">
        <v>429</v>
      </c>
      <c r="M92" s="5" t="s">
        <v>23</v>
      </c>
    </row>
    <row r="93" customFormat="false" ht="43.5" hidden="false" customHeight="true" outlineLevel="0" collapsed="false">
      <c r="A93" s="5" t="n">
        <v>90</v>
      </c>
      <c r="B93" s="6" t="s">
        <v>410</v>
      </c>
      <c r="C93" s="7" t="s">
        <v>430</v>
      </c>
      <c r="D93" s="6" t="s">
        <v>431</v>
      </c>
      <c r="E93" s="5" t="s">
        <v>18</v>
      </c>
      <c r="F93" s="8" t="n">
        <f aca="false">COUNTA(G93:K93)</f>
        <v>0</v>
      </c>
      <c r="G93" s="6"/>
      <c r="H93" s="6"/>
      <c r="I93" s="6"/>
      <c r="J93" s="6"/>
      <c r="K93" s="6"/>
      <c r="L93" s="10" t="s">
        <v>432</v>
      </c>
      <c r="M93" s="5" t="s">
        <v>23</v>
      </c>
    </row>
    <row r="94" customFormat="false" ht="82.5" hidden="false" customHeight="true" outlineLevel="0" collapsed="false">
      <c r="A94" s="11" t="n">
        <v>91</v>
      </c>
      <c r="B94" s="12" t="s">
        <v>433</v>
      </c>
      <c r="C94" s="13" t="s">
        <v>434</v>
      </c>
      <c r="D94" s="12" t="s">
        <v>435</v>
      </c>
      <c r="E94" s="11" t="s">
        <v>37</v>
      </c>
      <c r="F94" s="14" t="n">
        <f aca="false">COUNTA(G94:K94)</f>
        <v>5</v>
      </c>
      <c r="G94" s="15" t="s">
        <v>436</v>
      </c>
      <c r="H94" s="15" t="s">
        <v>437</v>
      </c>
      <c r="I94" s="15" t="s">
        <v>438</v>
      </c>
      <c r="J94" s="15" t="s">
        <v>439</v>
      </c>
      <c r="K94" s="15" t="s">
        <v>440</v>
      </c>
      <c r="L94" s="12"/>
      <c r="M94" s="11" t="s">
        <v>23</v>
      </c>
    </row>
    <row r="95" customFormat="false" ht="43.5" hidden="false" customHeight="true" outlineLevel="0" collapsed="false">
      <c r="A95" s="5" t="n">
        <v>92</v>
      </c>
      <c r="B95" s="6" t="s">
        <v>433</v>
      </c>
      <c r="C95" s="7" t="s">
        <v>441</v>
      </c>
      <c r="D95" s="6" t="s">
        <v>442</v>
      </c>
      <c r="E95" s="5" t="s">
        <v>26</v>
      </c>
      <c r="F95" s="8" t="n">
        <f aca="false">COUNTA(G95:K95)</f>
        <v>3</v>
      </c>
      <c r="G95" s="6"/>
      <c r="H95" s="6"/>
      <c r="I95" s="9" t="s">
        <v>443</v>
      </c>
      <c r="J95" s="9" t="s">
        <v>444</v>
      </c>
      <c r="K95" s="9" t="s">
        <v>445</v>
      </c>
      <c r="L95" s="6"/>
      <c r="M95" s="5" t="s">
        <v>23</v>
      </c>
    </row>
    <row r="96" customFormat="false" ht="43.5" hidden="false" customHeight="true" outlineLevel="0" collapsed="false">
      <c r="A96" s="5" t="n">
        <v>93</v>
      </c>
      <c r="B96" s="6" t="s">
        <v>433</v>
      </c>
      <c r="C96" s="7" t="s">
        <v>446</v>
      </c>
      <c r="D96" s="6" t="s">
        <v>447</v>
      </c>
      <c r="E96" s="5" t="s">
        <v>37</v>
      </c>
      <c r="F96" s="8" t="n">
        <f aca="false">COUNTA(G96:K96)</f>
        <v>3</v>
      </c>
      <c r="G96" s="6"/>
      <c r="H96" s="6"/>
      <c r="I96" s="9" t="s">
        <v>448</v>
      </c>
      <c r="J96" s="9" t="s">
        <v>449</v>
      </c>
      <c r="K96" s="9" t="s">
        <v>450</v>
      </c>
      <c r="L96" s="6"/>
      <c r="M96" s="5" t="s">
        <v>23</v>
      </c>
    </row>
    <row r="97" customFormat="false" ht="122.25" hidden="false" customHeight="true" outlineLevel="0" collapsed="false">
      <c r="A97" s="5" t="n">
        <v>94</v>
      </c>
      <c r="B97" s="6" t="s">
        <v>433</v>
      </c>
      <c r="C97" s="7" t="s">
        <v>451</v>
      </c>
      <c r="D97" s="6" t="s">
        <v>452</v>
      </c>
      <c r="E97" s="5" t="s">
        <v>37</v>
      </c>
      <c r="F97" s="8" t="n">
        <f aca="false">COUNTA(G97:K97)</f>
        <v>4</v>
      </c>
      <c r="G97" s="9" t="s">
        <v>436</v>
      </c>
      <c r="H97" s="9" t="s">
        <v>453</v>
      </c>
      <c r="I97" s="6"/>
      <c r="J97" s="9" t="s">
        <v>454</v>
      </c>
      <c r="K97" s="9" t="s">
        <v>455</v>
      </c>
      <c r="L97" s="6"/>
      <c r="M97" s="5" t="s">
        <v>23</v>
      </c>
    </row>
    <row r="98" customFormat="false" ht="43.5" hidden="false" customHeight="true" outlineLevel="0" collapsed="false">
      <c r="A98" s="5" t="n">
        <v>95</v>
      </c>
      <c r="B98" s="6" t="s">
        <v>433</v>
      </c>
      <c r="C98" s="7" t="s">
        <v>456</v>
      </c>
      <c r="D98" s="6" t="s">
        <v>457</v>
      </c>
      <c r="E98" s="5" t="s">
        <v>37</v>
      </c>
      <c r="F98" s="8" t="n">
        <f aca="false">COUNTA(G98:K98)</f>
        <v>2</v>
      </c>
      <c r="G98" s="6"/>
      <c r="H98" s="6"/>
      <c r="I98" s="9" t="s">
        <v>458</v>
      </c>
      <c r="J98" s="9" t="s">
        <v>459</v>
      </c>
      <c r="K98" s="6"/>
      <c r="L98" s="6"/>
      <c r="M98" s="5" t="s">
        <v>23</v>
      </c>
    </row>
    <row r="99" customFormat="false" ht="30" hidden="false" customHeight="true" outlineLevel="0" collapsed="false">
      <c r="A99" s="5" t="n">
        <v>96</v>
      </c>
      <c r="B99" s="6" t="s">
        <v>433</v>
      </c>
      <c r="C99" s="7" t="s">
        <v>460</v>
      </c>
      <c r="D99" s="6" t="s">
        <v>461</v>
      </c>
      <c r="E99" s="5" t="s">
        <v>37</v>
      </c>
      <c r="F99" s="8" t="n">
        <f aca="false">COUNTA(G99:K99)</f>
        <v>3</v>
      </c>
      <c r="G99" s="9" t="s">
        <v>462</v>
      </c>
      <c r="H99" s="6"/>
      <c r="I99" s="9" t="s">
        <v>463</v>
      </c>
      <c r="J99" s="9" t="s">
        <v>464</v>
      </c>
      <c r="K99" s="6"/>
      <c r="L99" s="6"/>
      <c r="M99" s="5" t="s">
        <v>23</v>
      </c>
    </row>
    <row r="100" customFormat="false" ht="43.5" hidden="false" customHeight="true" outlineLevel="0" collapsed="false">
      <c r="A100" s="5" t="n">
        <v>97</v>
      </c>
      <c r="B100" s="6" t="s">
        <v>433</v>
      </c>
      <c r="C100" s="7" t="s">
        <v>465</v>
      </c>
      <c r="D100" s="6" t="s">
        <v>466</v>
      </c>
      <c r="E100" s="5" t="s">
        <v>37</v>
      </c>
      <c r="F100" s="8" t="n">
        <f aca="false">COUNTA(G100:K100)</f>
        <v>1</v>
      </c>
      <c r="G100" s="9" t="s">
        <v>436</v>
      </c>
      <c r="H100" s="6"/>
      <c r="I100" s="6"/>
      <c r="J100" s="6"/>
      <c r="K100" s="6"/>
      <c r="L100" s="6" t="s">
        <v>467</v>
      </c>
      <c r="M100" s="5" t="s">
        <v>23</v>
      </c>
    </row>
    <row r="101" customFormat="false" ht="43.5" hidden="false" customHeight="true" outlineLevel="0" collapsed="false">
      <c r="A101" s="5" t="n">
        <v>98</v>
      </c>
      <c r="B101" s="6" t="s">
        <v>433</v>
      </c>
      <c r="C101" s="7" t="s">
        <v>468</v>
      </c>
      <c r="D101" s="6" t="s">
        <v>469</v>
      </c>
      <c r="E101" s="5" t="s">
        <v>26</v>
      </c>
      <c r="F101" s="8" t="n">
        <f aca="false">COUNTA(G101:K101)</f>
        <v>1</v>
      </c>
      <c r="G101" s="6"/>
      <c r="H101" s="6"/>
      <c r="I101" s="6"/>
      <c r="J101" s="9" t="s">
        <v>449</v>
      </c>
      <c r="K101" s="6"/>
      <c r="L101" s="6" t="s">
        <v>470</v>
      </c>
      <c r="M101" s="5" t="s">
        <v>23</v>
      </c>
    </row>
    <row r="102" customFormat="false" ht="43.5" hidden="false" customHeight="true" outlineLevel="0" collapsed="false">
      <c r="A102" s="5" t="n">
        <v>99</v>
      </c>
      <c r="B102" s="6" t="s">
        <v>433</v>
      </c>
      <c r="C102" s="7" t="s">
        <v>471</v>
      </c>
      <c r="D102" s="6" t="s">
        <v>472</v>
      </c>
      <c r="E102" s="5" t="s">
        <v>26</v>
      </c>
      <c r="F102" s="8" t="n">
        <f aca="false">COUNTA(G102:K102)</f>
        <v>3</v>
      </c>
      <c r="G102" s="9" t="s">
        <v>436</v>
      </c>
      <c r="H102" s="6"/>
      <c r="I102" s="9" t="s">
        <v>473</v>
      </c>
      <c r="J102" s="9" t="s">
        <v>474</v>
      </c>
      <c r="K102" s="6"/>
      <c r="L102" s="6"/>
      <c r="M102" s="5" t="s">
        <v>23</v>
      </c>
    </row>
    <row r="103" customFormat="false" ht="56.25" hidden="false" customHeight="true" outlineLevel="0" collapsed="false">
      <c r="A103" s="5" t="n">
        <v>100</v>
      </c>
      <c r="B103" s="6" t="s">
        <v>433</v>
      </c>
      <c r="C103" s="7" t="s">
        <v>475</v>
      </c>
      <c r="D103" s="6" t="s">
        <v>476</v>
      </c>
      <c r="E103" s="5" t="s">
        <v>26</v>
      </c>
      <c r="F103" s="8" t="n">
        <f aca="false">COUNTA(G103:K103)</f>
        <v>2</v>
      </c>
      <c r="G103" s="6"/>
      <c r="H103" s="6"/>
      <c r="I103" s="9" t="s">
        <v>463</v>
      </c>
      <c r="J103" s="9" t="s">
        <v>477</v>
      </c>
      <c r="K103" s="6"/>
      <c r="L103" s="6"/>
      <c r="M103" s="5" t="s">
        <v>23</v>
      </c>
    </row>
    <row r="104" customFormat="false" ht="43.5" hidden="false" customHeight="true" outlineLevel="0" collapsed="false">
      <c r="A104" s="5" t="n">
        <v>101</v>
      </c>
      <c r="B104" s="6" t="s">
        <v>433</v>
      </c>
      <c r="C104" s="7" t="s">
        <v>478</v>
      </c>
      <c r="D104" s="6" t="s">
        <v>479</v>
      </c>
      <c r="E104" s="5" t="s">
        <v>26</v>
      </c>
      <c r="F104" s="8" t="n">
        <f aca="false">COUNTA(G104:K104)</f>
        <v>3</v>
      </c>
      <c r="G104" s="9" t="s">
        <v>436</v>
      </c>
      <c r="H104" s="6"/>
      <c r="I104" s="9" t="s">
        <v>473</v>
      </c>
      <c r="J104" s="9" t="s">
        <v>474</v>
      </c>
      <c r="K104" s="6"/>
      <c r="L104" s="6" t="s">
        <v>480</v>
      </c>
      <c r="M104" s="5" t="s">
        <v>23</v>
      </c>
    </row>
    <row r="105" customFormat="false" ht="43.5" hidden="false" customHeight="true" outlineLevel="0" collapsed="false">
      <c r="A105" s="5" t="n">
        <v>102</v>
      </c>
      <c r="B105" s="6" t="s">
        <v>433</v>
      </c>
      <c r="C105" s="7" t="s">
        <v>481</v>
      </c>
      <c r="D105" s="6" t="s">
        <v>482</v>
      </c>
      <c r="E105" s="5" t="s">
        <v>37</v>
      </c>
      <c r="F105" s="8" t="n">
        <f aca="false">COUNTA(G105:K105)</f>
        <v>0</v>
      </c>
      <c r="G105" s="6"/>
      <c r="H105" s="6"/>
      <c r="I105" s="6"/>
      <c r="J105" s="6"/>
      <c r="K105" s="6"/>
      <c r="L105" s="10" t="s">
        <v>483</v>
      </c>
      <c r="M105" s="5" t="s">
        <v>23</v>
      </c>
    </row>
    <row r="106" customFormat="false" ht="30" hidden="false" customHeight="true" outlineLevel="0" collapsed="false">
      <c r="A106" s="5" t="n">
        <v>103</v>
      </c>
      <c r="B106" s="6" t="s">
        <v>433</v>
      </c>
      <c r="C106" s="7" t="s">
        <v>484</v>
      </c>
      <c r="D106" s="6" t="s">
        <v>485</v>
      </c>
      <c r="E106" s="5" t="s">
        <v>26</v>
      </c>
      <c r="F106" s="8" t="n">
        <f aca="false">COUNTA(G106:K106)</f>
        <v>2</v>
      </c>
      <c r="G106" s="6"/>
      <c r="H106" s="6"/>
      <c r="I106" s="9" t="s">
        <v>486</v>
      </c>
      <c r="J106" s="9" t="s">
        <v>487</v>
      </c>
      <c r="K106" s="6"/>
      <c r="L106" s="6"/>
      <c r="M106" s="5" t="s">
        <v>23</v>
      </c>
    </row>
    <row r="107" customFormat="false" ht="82.5" hidden="false" customHeight="true" outlineLevel="0" collapsed="false">
      <c r="A107" s="5" t="n">
        <v>104</v>
      </c>
      <c r="B107" s="6" t="s">
        <v>433</v>
      </c>
      <c r="C107" s="7" t="s">
        <v>488</v>
      </c>
      <c r="D107" s="6" t="s">
        <v>489</v>
      </c>
      <c r="E107" s="5" t="s">
        <v>37</v>
      </c>
      <c r="F107" s="8" t="n">
        <f aca="false">COUNTA(G107:K107)</f>
        <v>3</v>
      </c>
      <c r="G107" s="9" t="s">
        <v>436</v>
      </c>
      <c r="H107" s="6"/>
      <c r="I107" s="9" t="s">
        <v>490</v>
      </c>
      <c r="J107" s="9" t="s">
        <v>491</v>
      </c>
      <c r="K107" s="6"/>
      <c r="L107" s="6"/>
      <c r="M107" s="5" t="s">
        <v>23</v>
      </c>
    </row>
    <row r="108" customFormat="false" ht="30" hidden="false" customHeight="true" outlineLevel="0" collapsed="false">
      <c r="A108" s="5" t="n">
        <v>105</v>
      </c>
      <c r="B108" s="6" t="s">
        <v>433</v>
      </c>
      <c r="C108" s="7" t="s">
        <v>492</v>
      </c>
      <c r="D108" s="6" t="s">
        <v>493</v>
      </c>
      <c r="E108" s="5" t="s">
        <v>26</v>
      </c>
      <c r="F108" s="8" t="n">
        <f aca="false">COUNTA(G108:K108)</f>
        <v>2</v>
      </c>
      <c r="G108" s="6"/>
      <c r="H108" s="6"/>
      <c r="I108" s="9" t="s">
        <v>494</v>
      </c>
      <c r="J108" s="9" t="s">
        <v>491</v>
      </c>
      <c r="K108" s="6"/>
      <c r="L108" s="6"/>
      <c r="M108" s="5" t="s">
        <v>23</v>
      </c>
    </row>
    <row r="109" customFormat="false" ht="43.5" hidden="false" customHeight="true" outlineLevel="0" collapsed="false">
      <c r="A109" s="5" t="n">
        <v>106</v>
      </c>
      <c r="B109" s="6" t="s">
        <v>433</v>
      </c>
      <c r="C109" s="7" t="s">
        <v>495</v>
      </c>
      <c r="D109" s="6" t="s">
        <v>496</v>
      </c>
      <c r="E109" s="5" t="s">
        <v>26</v>
      </c>
      <c r="F109" s="8" t="n">
        <f aca="false">COUNTA(G109:K109)</f>
        <v>3</v>
      </c>
      <c r="G109" s="9" t="s">
        <v>436</v>
      </c>
      <c r="H109" s="6"/>
      <c r="I109" s="9" t="s">
        <v>494</v>
      </c>
      <c r="J109" s="9" t="s">
        <v>487</v>
      </c>
      <c r="K109" s="6"/>
      <c r="L109" s="6"/>
      <c r="M109" s="5" t="s">
        <v>23</v>
      </c>
    </row>
    <row r="110" customFormat="false" ht="30" hidden="false" customHeight="true" outlineLevel="0" collapsed="false">
      <c r="A110" s="5" t="n">
        <v>107</v>
      </c>
      <c r="B110" s="6" t="s">
        <v>433</v>
      </c>
      <c r="C110" s="7" t="s">
        <v>497</v>
      </c>
      <c r="D110" s="6" t="s">
        <v>498</v>
      </c>
      <c r="E110" s="5" t="s">
        <v>26</v>
      </c>
      <c r="F110" s="8" t="n">
        <f aca="false">COUNTA(G110:K110)</f>
        <v>2</v>
      </c>
      <c r="G110" s="6"/>
      <c r="H110" s="6"/>
      <c r="I110" s="9" t="s">
        <v>499</v>
      </c>
      <c r="J110" s="9" t="s">
        <v>487</v>
      </c>
      <c r="K110" s="6"/>
      <c r="L110" s="6"/>
      <c r="M110" s="5" t="s">
        <v>23</v>
      </c>
    </row>
    <row r="111" customFormat="false" ht="30" hidden="false" customHeight="true" outlineLevel="0" collapsed="false">
      <c r="A111" s="5" t="n">
        <v>108</v>
      </c>
      <c r="B111" s="6" t="s">
        <v>433</v>
      </c>
      <c r="C111" s="7" t="s">
        <v>500</v>
      </c>
      <c r="D111" s="6" t="s">
        <v>501</v>
      </c>
      <c r="E111" s="5" t="s">
        <v>26</v>
      </c>
      <c r="F111" s="8" t="n">
        <f aca="false">COUNTA(G111:K111)</f>
        <v>2</v>
      </c>
      <c r="G111" s="6"/>
      <c r="H111" s="6"/>
      <c r="I111" s="9" t="s">
        <v>486</v>
      </c>
      <c r="J111" s="9" t="s">
        <v>487</v>
      </c>
      <c r="K111" s="6"/>
      <c r="L111" s="6"/>
      <c r="M111" s="5" t="s">
        <v>23</v>
      </c>
    </row>
    <row r="112" customFormat="false" ht="30" hidden="false" customHeight="true" outlineLevel="0" collapsed="false">
      <c r="A112" s="5" t="n">
        <v>109</v>
      </c>
      <c r="B112" s="6" t="s">
        <v>433</v>
      </c>
      <c r="C112" s="7" t="s">
        <v>502</v>
      </c>
      <c r="D112" s="6" t="s">
        <v>503</v>
      </c>
      <c r="E112" s="5" t="s">
        <v>18</v>
      </c>
      <c r="F112" s="8" t="n">
        <f aca="false">COUNTA(G112:K112)</f>
        <v>0</v>
      </c>
      <c r="G112" s="6"/>
      <c r="H112" s="6"/>
      <c r="I112" s="6"/>
      <c r="J112" s="6"/>
      <c r="K112" s="6"/>
      <c r="L112" s="10" t="s">
        <v>504</v>
      </c>
      <c r="M112" s="5" t="s">
        <v>23</v>
      </c>
    </row>
    <row r="113" customFormat="false" ht="30" hidden="false" customHeight="true" outlineLevel="0" collapsed="false">
      <c r="A113" s="11" t="n">
        <v>110</v>
      </c>
      <c r="B113" s="12" t="s">
        <v>505</v>
      </c>
      <c r="C113" s="13" t="s">
        <v>506</v>
      </c>
      <c r="D113" s="12" t="s">
        <v>507</v>
      </c>
      <c r="E113" s="11" t="s">
        <v>26</v>
      </c>
      <c r="F113" s="14" t="n">
        <f aca="false">COUNTA(G113:K113)</f>
        <v>1</v>
      </c>
      <c r="G113" s="12"/>
      <c r="H113" s="12"/>
      <c r="I113" s="15" t="s">
        <v>508</v>
      </c>
      <c r="J113" s="12"/>
      <c r="K113" s="12"/>
      <c r="L113" s="12"/>
      <c r="M113" s="11" t="s">
        <v>23</v>
      </c>
    </row>
    <row r="114" customFormat="false" ht="30" hidden="false" customHeight="true" outlineLevel="0" collapsed="false">
      <c r="A114" s="5" t="n">
        <v>111</v>
      </c>
      <c r="B114" s="6" t="s">
        <v>505</v>
      </c>
      <c r="C114" s="7" t="s">
        <v>509</v>
      </c>
      <c r="D114" s="6" t="s">
        <v>510</v>
      </c>
      <c r="E114" s="5" t="s">
        <v>26</v>
      </c>
      <c r="F114" s="8" t="n">
        <f aca="false">COUNTA(G114:K114)</f>
        <v>3</v>
      </c>
      <c r="G114" s="6"/>
      <c r="H114" s="9" t="s">
        <v>511</v>
      </c>
      <c r="I114" s="9" t="s">
        <v>512</v>
      </c>
      <c r="J114" s="6"/>
      <c r="K114" s="9" t="s">
        <v>513</v>
      </c>
      <c r="L114" s="6"/>
      <c r="M114" s="5" t="s">
        <v>23</v>
      </c>
    </row>
    <row r="115" customFormat="false" ht="30" hidden="false" customHeight="true" outlineLevel="0" collapsed="false">
      <c r="A115" s="5" t="n">
        <v>112</v>
      </c>
      <c r="B115" s="6" t="s">
        <v>505</v>
      </c>
      <c r="C115" s="7" t="s">
        <v>514</v>
      </c>
      <c r="D115" s="6" t="s">
        <v>515</v>
      </c>
      <c r="E115" s="5" t="s">
        <v>18</v>
      </c>
      <c r="F115" s="8" t="n">
        <f aca="false">COUNTA(G115:K115)</f>
        <v>0</v>
      </c>
      <c r="G115" s="6"/>
      <c r="H115" s="6"/>
      <c r="I115" s="6"/>
      <c r="J115" s="6"/>
      <c r="K115" s="6"/>
      <c r="L115" s="10" t="s">
        <v>516</v>
      </c>
      <c r="M115" s="5" t="s">
        <v>23</v>
      </c>
    </row>
    <row r="116" customFormat="false" ht="30" hidden="false" customHeight="true" outlineLevel="0" collapsed="false">
      <c r="A116" s="5" t="n">
        <v>113</v>
      </c>
      <c r="B116" s="6" t="s">
        <v>505</v>
      </c>
      <c r="C116" s="7" t="s">
        <v>517</v>
      </c>
      <c r="D116" s="6" t="s">
        <v>518</v>
      </c>
      <c r="E116" s="5" t="s">
        <v>18</v>
      </c>
      <c r="F116" s="8" t="n">
        <f aca="false">COUNTA(G116:K116)</f>
        <v>0</v>
      </c>
      <c r="G116" s="6"/>
      <c r="H116" s="6"/>
      <c r="I116" s="6"/>
      <c r="J116" s="6"/>
      <c r="K116" s="6"/>
      <c r="L116" s="10" t="s">
        <v>519</v>
      </c>
      <c r="M116" s="5" t="s">
        <v>23</v>
      </c>
    </row>
    <row r="117" customFormat="false" ht="30" hidden="false" customHeight="true" outlineLevel="0" collapsed="false">
      <c r="A117" s="5" t="n">
        <v>114</v>
      </c>
      <c r="B117" s="6" t="s">
        <v>505</v>
      </c>
      <c r="C117" s="7" t="s">
        <v>520</v>
      </c>
      <c r="D117" s="6" t="s">
        <v>521</v>
      </c>
      <c r="E117" s="5" t="s">
        <v>26</v>
      </c>
      <c r="F117" s="8" t="n">
        <f aca="false">COUNTA(G117:K117)</f>
        <v>0</v>
      </c>
      <c r="G117" s="6"/>
      <c r="H117" s="6"/>
      <c r="I117" s="6"/>
      <c r="J117" s="6"/>
      <c r="K117" s="6"/>
      <c r="L117" s="10" t="s">
        <v>522</v>
      </c>
      <c r="M117" s="5" t="s">
        <v>23</v>
      </c>
    </row>
    <row r="118" customFormat="false" ht="30" hidden="false" customHeight="true" outlineLevel="0" collapsed="false">
      <c r="A118" s="11" t="n">
        <v>115</v>
      </c>
      <c r="B118" s="12" t="s">
        <v>523</v>
      </c>
      <c r="C118" s="13" t="s">
        <v>524</v>
      </c>
      <c r="D118" s="12" t="s">
        <v>525</v>
      </c>
      <c r="E118" s="11" t="s">
        <v>37</v>
      </c>
      <c r="F118" s="14" t="n">
        <f aca="false">COUNTA(G118:K118)</f>
        <v>2</v>
      </c>
      <c r="G118" s="12"/>
      <c r="H118" s="12"/>
      <c r="I118" s="15" t="s">
        <v>526</v>
      </c>
      <c r="J118" s="15" t="s">
        <v>527</v>
      </c>
      <c r="K118" s="12"/>
      <c r="L118" s="12"/>
      <c r="M118" s="11" t="s">
        <v>23</v>
      </c>
    </row>
    <row r="119" customFormat="false" ht="30" hidden="false" customHeight="true" outlineLevel="0" collapsed="false">
      <c r="A119" s="5" t="n">
        <v>116</v>
      </c>
      <c r="B119" s="6" t="s">
        <v>523</v>
      </c>
      <c r="C119" s="7" t="s">
        <v>528</v>
      </c>
      <c r="D119" s="6" t="s">
        <v>529</v>
      </c>
      <c r="E119" s="5" t="s">
        <v>37</v>
      </c>
      <c r="F119" s="8" t="n">
        <f aca="false">COUNTA(G119:K119)</f>
        <v>2</v>
      </c>
      <c r="G119" s="6"/>
      <c r="H119" s="6"/>
      <c r="I119" s="9" t="s">
        <v>526</v>
      </c>
      <c r="J119" s="9" t="s">
        <v>530</v>
      </c>
      <c r="K119" s="6"/>
      <c r="L119" s="6"/>
      <c r="M119" s="5" t="s">
        <v>23</v>
      </c>
    </row>
    <row r="120" customFormat="false" ht="30" hidden="false" customHeight="true" outlineLevel="0" collapsed="false">
      <c r="A120" s="5" t="n">
        <v>117</v>
      </c>
      <c r="B120" s="6" t="s">
        <v>523</v>
      </c>
      <c r="C120" s="7" t="s">
        <v>531</v>
      </c>
      <c r="D120" s="6" t="s">
        <v>532</v>
      </c>
      <c r="E120" s="5" t="s">
        <v>26</v>
      </c>
      <c r="F120" s="8" t="n">
        <f aca="false">COUNTA(G120:K120)</f>
        <v>0</v>
      </c>
      <c r="G120" s="6"/>
      <c r="H120" s="6"/>
      <c r="I120" s="6"/>
      <c r="J120" s="6"/>
      <c r="K120" s="6"/>
      <c r="L120" s="10" t="s">
        <v>533</v>
      </c>
      <c r="M120" s="5" t="s">
        <v>23</v>
      </c>
    </row>
    <row r="121" customFormat="false" ht="30" hidden="false" customHeight="true" outlineLevel="0" collapsed="false">
      <c r="A121" s="5" t="n">
        <v>118</v>
      </c>
      <c r="B121" s="6" t="s">
        <v>523</v>
      </c>
      <c r="C121" s="7" t="s">
        <v>534</v>
      </c>
      <c r="D121" s="6" t="s">
        <v>535</v>
      </c>
      <c r="E121" s="5" t="s">
        <v>26</v>
      </c>
      <c r="F121" s="8" t="n">
        <f aca="false">COUNTA(G121:K121)</f>
        <v>0</v>
      </c>
      <c r="G121" s="6"/>
      <c r="H121" s="6"/>
      <c r="I121" s="6"/>
      <c r="J121" s="6"/>
      <c r="K121" s="6"/>
      <c r="L121" s="10" t="s">
        <v>536</v>
      </c>
      <c r="M121" s="5" t="s">
        <v>23</v>
      </c>
    </row>
    <row r="122" customFormat="false" ht="30" hidden="false" customHeight="true" outlineLevel="0" collapsed="false">
      <c r="A122" s="5" t="n">
        <v>119</v>
      </c>
      <c r="B122" s="6" t="s">
        <v>523</v>
      </c>
      <c r="C122" s="7" t="s">
        <v>537</v>
      </c>
      <c r="D122" s="6" t="s">
        <v>538</v>
      </c>
      <c r="E122" s="5" t="s">
        <v>18</v>
      </c>
      <c r="F122" s="8" t="n">
        <f aca="false">COUNTA(G122:K122)</f>
        <v>1</v>
      </c>
      <c r="G122" s="9" t="s">
        <v>38</v>
      </c>
      <c r="H122" s="6"/>
      <c r="I122" s="6"/>
      <c r="J122" s="6"/>
      <c r="K122" s="6"/>
      <c r="L122" s="6" t="s">
        <v>539</v>
      </c>
      <c r="M122" s="5" t="s">
        <v>23</v>
      </c>
    </row>
    <row r="123" customFormat="false" ht="30" hidden="false" customHeight="true" outlineLevel="0" collapsed="false">
      <c r="A123" s="5" t="n">
        <v>120</v>
      </c>
      <c r="B123" s="6" t="s">
        <v>523</v>
      </c>
      <c r="C123" s="7" t="s">
        <v>540</v>
      </c>
      <c r="D123" s="6" t="s">
        <v>541</v>
      </c>
      <c r="E123" s="5" t="s">
        <v>18</v>
      </c>
      <c r="F123" s="8" t="n">
        <f aca="false">COUNTA(G123:K123)</f>
        <v>1</v>
      </c>
      <c r="G123" s="9" t="s">
        <v>38</v>
      </c>
      <c r="H123" s="6"/>
      <c r="I123" s="6"/>
      <c r="J123" s="6"/>
      <c r="K123" s="6"/>
      <c r="L123" s="6" t="s">
        <v>542</v>
      </c>
      <c r="M123" s="5" t="s">
        <v>23</v>
      </c>
    </row>
    <row r="124" customFormat="false" ht="43.5" hidden="false" customHeight="true" outlineLevel="0" collapsed="false">
      <c r="A124" s="5" t="n">
        <v>121</v>
      </c>
      <c r="B124" s="6" t="s">
        <v>523</v>
      </c>
      <c r="C124" s="7" t="s">
        <v>543</v>
      </c>
      <c r="D124" s="6" t="s">
        <v>544</v>
      </c>
      <c r="E124" s="5" t="s">
        <v>26</v>
      </c>
      <c r="F124" s="8" t="n">
        <f aca="false">COUNTA(G124:K124)</f>
        <v>0</v>
      </c>
      <c r="G124" s="6"/>
      <c r="H124" s="6"/>
      <c r="I124" s="6"/>
      <c r="J124" s="6"/>
      <c r="K124" s="6"/>
      <c r="L124" s="10" t="s">
        <v>545</v>
      </c>
      <c r="M124" s="5" t="s">
        <v>23</v>
      </c>
    </row>
    <row r="125" customFormat="false" ht="30" hidden="false" customHeight="true" outlineLevel="0" collapsed="false">
      <c r="A125" s="5" t="n">
        <v>122</v>
      </c>
      <c r="B125" s="6" t="s">
        <v>523</v>
      </c>
      <c r="C125" s="7" t="s">
        <v>546</v>
      </c>
      <c r="D125" s="6" t="s">
        <v>547</v>
      </c>
      <c r="E125" s="5" t="s">
        <v>18</v>
      </c>
      <c r="F125" s="8" t="n">
        <f aca="false">COUNTA(G125:K125)</f>
        <v>0</v>
      </c>
      <c r="G125" s="6"/>
      <c r="H125" s="6"/>
      <c r="I125" s="6"/>
      <c r="J125" s="6"/>
      <c r="K125" s="6"/>
      <c r="L125" s="10" t="s">
        <v>548</v>
      </c>
      <c r="M125" s="5" t="s">
        <v>23</v>
      </c>
    </row>
    <row r="126" customFormat="false" ht="30" hidden="false" customHeight="true" outlineLevel="0" collapsed="false">
      <c r="A126" s="11" t="n">
        <v>123</v>
      </c>
      <c r="B126" s="12" t="s">
        <v>549</v>
      </c>
      <c r="C126" s="13" t="s">
        <v>550</v>
      </c>
      <c r="D126" s="12" t="s">
        <v>551</v>
      </c>
      <c r="E126" s="11" t="s">
        <v>18</v>
      </c>
      <c r="F126" s="14" t="n">
        <f aca="false">COUNTA(G126:K126)</f>
        <v>0</v>
      </c>
      <c r="G126" s="12"/>
      <c r="H126" s="12"/>
      <c r="I126" s="12"/>
      <c r="J126" s="12"/>
      <c r="K126" s="12"/>
      <c r="L126" s="16" t="s">
        <v>552</v>
      </c>
      <c r="M126" s="11" t="s">
        <v>23</v>
      </c>
    </row>
    <row r="127" customFormat="false" ht="16.5" hidden="false" customHeight="true" outlineLevel="0" collapsed="false">
      <c r="A127" s="5" t="n">
        <v>124</v>
      </c>
      <c r="B127" s="6" t="s">
        <v>549</v>
      </c>
      <c r="C127" s="7" t="s">
        <v>553</v>
      </c>
      <c r="D127" s="6" t="s">
        <v>554</v>
      </c>
      <c r="E127" s="5" t="s">
        <v>18</v>
      </c>
      <c r="F127" s="8" t="n">
        <f aca="false">COUNTA(G127:K127)</f>
        <v>1</v>
      </c>
      <c r="G127" s="6"/>
      <c r="H127" s="6"/>
      <c r="I127" s="9" t="s">
        <v>555</v>
      </c>
      <c r="J127" s="6"/>
      <c r="K127" s="6"/>
      <c r="L127" s="6"/>
      <c r="M127" s="5" t="s">
        <v>23</v>
      </c>
    </row>
    <row r="128" customFormat="false" ht="30" hidden="false" customHeight="true" outlineLevel="0" collapsed="false">
      <c r="A128" s="5" t="n">
        <v>125</v>
      </c>
      <c r="B128" s="6" t="s">
        <v>549</v>
      </c>
      <c r="C128" s="7" t="s">
        <v>556</v>
      </c>
      <c r="D128" s="6" t="s">
        <v>557</v>
      </c>
      <c r="E128" s="5" t="s">
        <v>26</v>
      </c>
      <c r="F128" s="8" t="n">
        <f aca="false">COUNTA(G128:K128)</f>
        <v>1</v>
      </c>
      <c r="G128" s="6"/>
      <c r="H128" s="6"/>
      <c r="I128" s="9" t="s">
        <v>558</v>
      </c>
      <c r="J128" s="6"/>
      <c r="K128" s="6"/>
      <c r="L128" s="6"/>
      <c r="M128" s="5" t="s">
        <v>23</v>
      </c>
    </row>
    <row r="129" customFormat="false" ht="56.25" hidden="false" customHeight="true" outlineLevel="0" collapsed="false">
      <c r="A129" s="5" t="n">
        <v>126</v>
      </c>
      <c r="B129" s="6" t="s">
        <v>549</v>
      </c>
      <c r="C129" s="7" t="s">
        <v>559</v>
      </c>
      <c r="D129" s="6" t="s">
        <v>560</v>
      </c>
      <c r="E129" s="5" t="s">
        <v>26</v>
      </c>
      <c r="F129" s="8" t="n">
        <f aca="false">COUNTA(G129:K129)</f>
        <v>1</v>
      </c>
      <c r="G129" s="6"/>
      <c r="H129" s="6"/>
      <c r="I129" s="9" t="s">
        <v>561</v>
      </c>
      <c r="J129" s="6"/>
      <c r="K129" s="6"/>
      <c r="L129" s="6"/>
      <c r="M129" s="5" t="s">
        <v>23</v>
      </c>
    </row>
    <row r="130" customFormat="false" ht="30" hidden="false" customHeight="true" outlineLevel="0" collapsed="false">
      <c r="A130" s="5" t="n">
        <v>127</v>
      </c>
      <c r="B130" s="6" t="s">
        <v>549</v>
      </c>
      <c r="C130" s="7" t="s">
        <v>562</v>
      </c>
      <c r="D130" s="6" t="s">
        <v>563</v>
      </c>
      <c r="E130" s="5" t="s">
        <v>18</v>
      </c>
      <c r="F130" s="8" t="n">
        <f aca="false">COUNTA(G130:K130)</f>
        <v>1</v>
      </c>
      <c r="G130" s="6"/>
      <c r="H130" s="6"/>
      <c r="I130" s="9" t="s">
        <v>564</v>
      </c>
      <c r="J130" s="6"/>
      <c r="K130" s="6"/>
      <c r="L130" s="6"/>
      <c r="M130" s="5" t="s">
        <v>23</v>
      </c>
    </row>
    <row r="131" customFormat="false" ht="30" hidden="false" customHeight="true" outlineLevel="0" collapsed="false">
      <c r="A131" s="5" t="n">
        <v>128</v>
      </c>
      <c r="B131" s="6" t="s">
        <v>549</v>
      </c>
      <c r="C131" s="7" t="s">
        <v>565</v>
      </c>
      <c r="D131" s="6" t="s">
        <v>566</v>
      </c>
      <c r="E131" s="5" t="s">
        <v>18</v>
      </c>
      <c r="F131" s="8" t="n">
        <f aca="false">COUNTA(G131:K131)</f>
        <v>1</v>
      </c>
      <c r="G131" s="6"/>
      <c r="H131" s="9" t="s">
        <v>567</v>
      </c>
      <c r="I131" s="6"/>
      <c r="J131" s="6"/>
      <c r="K131" s="6"/>
      <c r="L131" s="6"/>
      <c r="M131" s="5" t="s">
        <v>23</v>
      </c>
    </row>
    <row r="132" customFormat="false" ht="30" hidden="false" customHeight="true" outlineLevel="0" collapsed="false">
      <c r="A132" s="5" t="n">
        <v>129</v>
      </c>
      <c r="B132" s="6" t="s">
        <v>549</v>
      </c>
      <c r="C132" s="7" t="s">
        <v>568</v>
      </c>
      <c r="D132" s="6" t="s">
        <v>569</v>
      </c>
      <c r="E132" s="5" t="s">
        <v>18</v>
      </c>
      <c r="F132" s="8" t="n">
        <f aca="false">COUNTA(G132:K132)</f>
        <v>0</v>
      </c>
      <c r="G132" s="6"/>
      <c r="H132" s="6"/>
      <c r="I132" s="6"/>
      <c r="J132" s="6"/>
      <c r="K132" s="6"/>
      <c r="L132" s="10" t="s">
        <v>570</v>
      </c>
      <c r="M132" s="5" t="s">
        <v>23</v>
      </c>
    </row>
    <row r="133" customFormat="false" ht="30" hidden="false" customHeight="true" outlineLevel="0" collapsed="false">
      <c r="A133" s="5" t="n">
        <v>130</v>
      </c>
      <c r="B133" s="6" t="s">
        <v>549</v>
      </c>
      <c r="C133" s="7" t="s">
        <v>571</v>
      </c>
      <c r="D133" s="6" t="s">
        <v>572</v>
      </c>
      <c r="E133" s="5" t="s">
        <v>18</v>
      </c>
      <c r="F133" s="8" t="n">
        <f aca="false">COUNTA(G133:K133)</f>
        <v>0</v>
      </c>
      <c r="G133" s="6"/>
      <c r="H133" s="6"/>
      <c r="I133" s="6"/>
      <c r="J133" s="6"/>
      <c r="K133" s="6"/>
      <c r="L133" s="10" t="s">
        <v>573</v>
      </c>
      <c r="M133" s="5" t="s">
        <v>23</v>
      </c>
    </row>
    <row r="134" customFormat="false" ht="30" hidden="false" customHeight="true" outlineLevel="0" collapsed="false">
      <c r="A134" s="11" t="n">
        <v>131</v>
      </c>
      <c r="B134" s="12" t="s">
        <v>574</v>
      </c>
      <c r="C134" s="13" t="s">
        <v>575</v>
      </c>
      <c r="D134" s="12" t="s">
        <v>576</v>
      </c>
      <c r="E134" s="11" t="s">
        <v>26</v>
      </c>
      <c r="F134" s="14" t="n">
        <f aca="false">COUNTA(G134:K134)</f>
        <v>1</v>
      </c>
      <c r="G134" s="12"/>
      <c r="H134" s="15" t="s">
        <v>577</v>
      </c>
      <c r="I134" s="12"/>
      <c r="J134" s="12"/>
      <c r="K134" s="12"/>
      <c r="L134" s="12"/>
      <c r="M134" s="11" t="s">
        <v>23</v>
      </c>
    </row>
    <row r="135" customFormat="false" ht="30" hidden="false" customHeight="true" outlineLevel="0" collapsed="false">
      <c r="A135" s="5" t="n">
        <v>132</v>
      </c>
      <c r="B135" s="6" t="s">
        <v>574</v>
      </c>
      <c r="C135" s="7" t="s">
        <v>578</v>
      </c>
      <c r="D135" s="6" t="s">
        <v>579</v>
      </c>
      <c r="E135" s="5" t="s">
        <v>26</v>
      </c>
      <c r="F135" s="8" t="n">
        <f aca="false">COUNTA(G135:K135)</f>
        <v>0</v>
      </c>
      <c r="G135" s="6"/>
      <c r="H135" s="6"/>
      <c r="I135" s="6"/>
      <c r="J135" s="6"/>
      <c r="K135" s="6"/>
      <c r="L135" s="10" t="s">
        <v>580</v>
      </c>
      <c r="M135" s="5" t="s">
        <v>23</v>
      </c>
    </row>
    <row r="136" customFormat="false" ht="30" hidden="false" customHeight="true" outlineLevel="0" collapsed="false">
      <c r="A136" s="5" t="n">
        <v>133</v>
      </c>
      <c r="B136" s="6" t="s">
        <v>574</v>
      </c>
      <c r="C136" s="7" t="s">
        <v>581</v>
      </c>
      <c r="D136" s="6" t="s">
        <v>582</v>
      </c>
      <c r="E136" s="5" t="s">
        <v>26</v>
      </c>
      <c r="F136" s="8" t="n">
        <f aca="false">COUNTA(G136:K136)</f>
        <v>0</v>
      </c>
      <c r="G136" s="6"/>
      <c r="H136" s="6"/>
      <c r="I136" s="6"/>
      <c r="J136" s="6"/>
      <c r="K136" s="6"/>
      <c r="L136" s="10" t="s">
        <v>583</v>
      </c>
      <c r="M136" s="5" t="s">
        <v>23</v>
      </c>
    </row>
    <row r="137" customFormat="false" ht="30" hidden="false" customHeight="true" outlineLevel="0" collapsed="false">
      <c r="A137" s="5" t="n">
        <v>134</v>
      </c>
      <c r="B137" s="6" t="s">
        <v>574</v>
      </c>
      <c r="C137" s="7" t="s">
        <v>584</v>
      </c>
      <c r="D137" s="6" t="s">
        <v>585</v>
      </c>
      <c r="E137" s="5" t="s">
        <v>26</v>
      </c>
      <c r="F137" s="8" t="n">
        <f aca="false">COUNTA(G137:K137)</f>
        <v>0</v>
      </c>
      <c r="G137" s="6"/>
      <c r="H137" s="6"/>
      <c r="I137" s="6"/>
      <c r="J137" s="6"/>
      <c r="K137" s="6"/>
      <c r="L137" s="10" t="s">
        <v>586</v>
      </c>
      <c r="M137" s="5" t="s">
        <v>23</v>
      </c>
    </row>
    <row r="138" customFormat="false" ht="30" hidden="false" customHeight="true" outlineLevel="0" collapsed="false">
      <c r="A138" s="5" t="n">
        <v>135</v>
      </c>
      <c r="B138" s="6" t="s">
        <v>574</v>
      </c>
      <c r="C138" s="7" t="s">
        <v>587</v>
      </c>
      <c r="D138" s="6" t="s">
        <v>588</v>
      </c>
      <c r="E138" s="5" t="s">
        <v>18</v>
      </c>
      <c r="F138" s="8" t="n">
        <f aca="false">COUNTA(G138:K138)</f>
        <v>1</v>
      </c>
      <c r="G138" s="6"/>
      <c r="H138" s="9" t="s">
        <v>589</v>
      </c>
      <c r="I138" s="6"/>
      <c r="J138" s="6"/>
      <c r="K138" s="6"/>
      <c r="L138" s="6" t="s">
        <v>590</v>
      </c>
      <c r="M138" s="5" t="s">
        <v>23</v>
      </c>
    </row>
    <row r="139" customFormat="false" ht="30" hidden="false" customHeight="true" outlineLevel="0" collapsed="false">
      <c r="A139" s="5" t="n">
        <v>136</v>
      </c>
      <c r="B139" s="6" t="s">
        <v>574</v>
      </c>
      <c r="C139" s="7" t="s">
        <v>591</v>
      </c>
      <c r="D139" s="6" t="s">
        <v>592</v>
      </c>
      <c r="E139" s="5" t="s">
        <v>18</v>
      </c>
      <c r="F139" s="8" t="n">
        <f aca="false">COUNTA(G139:K139)</f>
        <v>0</v>
      </c>
      <c r="G139" s="6"/>
      <c r="H139" s="6"/>
      <c r="I139" s="6"/>
      <c r="J139" s="6"/>
      <c r="K139" s="6"/>
      <c r="L139" s="10" t="s">
        <v>593</v>
      </c>
      <c r="M139" s="5" t="s">
        <v>23</v>
      </c>
    </row>
    <row r="140" customFormat="false" ht="30" hidden="false" customHeight="true" outlineLevel="0" collapsed="false">
      <c r="A140" s="5" t="n">
        <v>137</v>
      </c>
      <c r="B140" s="6" t="s">
        <v>574</v>
      </c>
      <c r="C140" s="7" t="s">
        <v>594</v>
      </c>
      <c r="D140" s="6" t="s">
        <v>595</v>
      </c>
      <c r="E140" s="5" t="s">
        <v>18</v>
      </c>
      <c r="F140" s="8" t="n">
        <f aca="false">COUNTA(G140:K140)</f>
        <v>1</v>
      </c>
      <c r="G140" s="6"/>
      <c r="H140" s="6"/>
      <c r="I140" s="9" t="s">
        <v>596</v>
      </c>
      <c r="J140" s="6"/>
      <c r="K140" s="6"/>
      <c r="L140" s="6"/>
      <c r="M140" s="5" t="s">
        <v>23</v>
      </c>
    </row>
    <row r="141" customFormat="false" ht="30" hidden="false" customHeight="true" outlineLevel="0" collapsed="false">
      <c r="A141" s="11" t="n">
        <v>138</v>
      </c>
      <c r="B141" s="12" t="s">
        <v>597</v>
      </c>
      <c r="C141" s="13" t="s">
        <v>598</v>
      </c>
      <c r="D141" s="12" t="s">
        <v>599</v>
      </c>
      <c r="E141" s="11" t="s">
        <v>26</v>
      </c>
      <c r="F141" s="14" t="n">
        <f aca="false">COUNTA(G141:K141)</f>
        <v>0</v>
      </c>
      <c r="G141" s="12"/>
      <c r="H141" s="12"/>
      <c r="I141" s="12"/>
      <c r="J141" s="12"/>
      <c r="K141" s="12"/>
      <c r="L141" s="16" t="s">
        <v>600</v>
      </c>
      <c r="M141" s="11" t="s">
        <v>23</v>
      </c>
    </row>
    <row r="142" customFormat="false" ht="30" hidden="false" customHeight="true" outlineLevel="0" collapsed="false">
      <c r="A142" s="5" t="n">
        <v>139</v>
      </c>
      <c r="B142" s="6" t="s">
        <v>597</v>
      </c>
      <c r="C142" s="7" t="s">
        <v>601</v>
      </c>
      <c r="D142" s="6" t="s">
        <v>602</v>
      </c>
      <c r="E142" s="5" t="s">
        <v>26</v>
      </c>
      <c r="F142" s="8" t="n">
        <f aca="false">COUNTA(G142:K142)</f>
        <v>0</v>
      </c>
      <c r="G142" s="6"/>
      <c r="H142" s="6"/>
      <c r="I142" s="6"/>
      <c r="J142" s="6"/>
      <c r="K142" s="6"/>
      <c r="L142" s="10" t="s">
        <v>603</v>
      </c>
      <c r="M142" s="5" t="s">
        <v>23</v>
      </c>
    </row>
    <row r="143" customFormat="false" ht="30" hidden="false" customHeight="true" outlineLevel="0" collapsed="false">
      <c r="A143" s="5" t="n">
        <v>140</v>
      </c>
      <c r="B143" s="6" t="s">
        <v>597</v>
      </c>
      <c r="C143" s="7" t="s">
        <v>604</v>
      </c>
      <c r="D143" s="6" t="s">
        <v>605</v>
      </c>
      <c r="E143" s="5" t="s">
        <v>26</v>
      </c>
      <c r="F143" s="8" t="n">
        <f aca="false">COUNTA(G143:K143)</f>
        <v>0</v>
      </c>
      <c r="G143" s="6"/>
      <c r="H143" s="6"/>
      <c r="I143" s="6"/>
      <c r="J143" s="6"/>
      <c r="K143" s="6"/>
      <c r="L143" s="10" t="s">
        <v>606</v>
      </c>
      <c r="M143" s="5" t="s">
        <v>23</v>
      </c>
    </row>
    <row r="144" customFormat="false" ht="56.25" hidden="false" customHeight="true" outlineLevel="0" collapsed="false">
      <c r="A144" s="11" t="n">
        <v>141</v>
      </c>
      <c r="B144" s="12" t="s">
        <v>607</v>
      </c>
      <c r="C144" s="13" t="s">
        <v>608</v>
      </c>
      <c r="D144" s="12" t="s">
        <v>609</v>
      </c>
      <c r="E144" s="11" t="s">
        <v>18</v>
      </c>
      <c r="F144" s="14" t="n">
        <f aca="false">COUNTA(G144:K144)</f>
        <v>2</v>
      </c>
      <c r="G144" s="12"/>
      <c r="H144" s="15" t="s">
        <v>610</v>
      </c>
      <c r="I144" s="12"/>
      <c r="J144" s="12"/>
      <c r="K144" s="15" t="s">
        <v>611</v>
      </c>
      <c r="L144" s="12"/>
      <c r="M144" s="11" t="s">
        <v>23</v>
      </c>
    </row>
  </sheetData>
  <autoFilter ref="A3:M144"/>
  <mergeCells count="1">
    <mergeCell ref="A2:M2"/>
  </mergeCells>
  <conditionalFormatting sqref="A4:E144">
    <cfRule type="expression" priority="2" aboveAverage="0" equalAverage="0" bottom="0" percent="0" rank="0" text="" dxfId="9">
      <formula>$E4="★ Critical"</formula>
    </cfRule>
    <cfRule type="expression" priority="3" aboveAverage="0" equalAverage="0" bottom="0" percent="0" rank="0" text="" dxfId="10">
      <formula>$E4="Important"</formula>
    </cfRule>
  </conditionalFormatting>
  <conditionalFormatting sqref="G4:L144">
    <cfRule type="expression" priority="4" aboveAverage="0" equalAverage="0" bottom="0" percent="0" rank="0" text="" dxfId="11">
      <formula>$F4=0</formula>
    </cfRule>
  </conditionalFormatting>
  <conditionalFormatting sqref="M4:M144">
    <cfRule type="expression" priority="5" aboveAverage="0" equalAverage="0" bottom="0" percent="0" rank="0" text="" dxfId="12">
      <formula>$M4="Done"</formula>
    </cfRule>
    <cfRule type="expression" priority="6" aboveAverage="0" equalAverage="0" bottom="0" percent="0" rank="0" text="" dxfId="13">
      <formula>$M4="In progress"</formula>
    </cfRule>
  </conditionalFormatting>
  <dataValidations count="1">
    <dataValidation allowBlank="false" errorStyle="stop" operator="between" showDropDown="false" showErrorMessage="false" showInputMessage="false" sqref="M4:M144" type="list">
      <formula1>"Not started,In progress,Done"</formula1>
      <formula2>0</formula2>
    </dataValidation>
  </dataValidations>
  <hyperlinks>
    <hyperlink ref="G3" r:id="rId1" display="A · Engineering Digest&#10;Complete Java Programming Course 2026&#10;37 videos"/>
    <hyperlink ref="H3" r:id="rId2" display="B · Dilip IT Academy&#10;JAVA 21 – Free Full Course&#10;102 videos"/>
    <hyperlink ref="I3" r:id="rId3" display="C · Concept &amp;&amp; Coding (Shrayansh)&#10;Java from Basics to Advanced&#10;52 videos"/>
    <hyperlink ref="J3" r:id="rId4" display="D · Coder Army&#10;Java Full Course 2026&#10;57 videos"/>
    <hyperlink ref="K3" r:id="rId5" display="E · Learn Coding&#10;Java Programming – 2026&#10;224 videos"/>
    <hyperlink ref="H4" r:id="rId6" display="#1 Why Java | Roadmap &amp; Importance of Java (1h 22m 5s)&#10;#2 Role of Frontend/Backend/ Full Stack Developer | Lang. v/s Framework (1h 20m 57s)&#10;#3 Importance of Micro Services &amp; Java Language Release &amp; Version Details (1h 27m)&#10;#4 What is Operating System &amp; Prog.  Lang. | Types of Software Application (1h 11m 7s)"/>
    <hyperlink ref="I4" r:id="rId7" display="#1 Ultimate Java Basics to Advanced Roadmap | Java Course Roadmap for Beginners (4m 42s)"/>
    <hyperlink ref="J4" r:id="rId8" display="#1 Introduction to JAVA | Java Full Course for Beginners in 2026 (59m 7s)"/>
    <hyperlink ref="K4" r:id="rId9" display="▶ 6 videos: #3–7, #131  (~0.7 h)&#10;Starts with: SDE Roadmap: Software Developer Roadmap for 2026"/>
    <hyperlink ref="H5" r:id="rId10" display="#7 Features of Java | Platform Dependent vs InDependent (1h 28m 2s)"/>
    <hyperlink ref="J5" r:id="rId11" display="#1 Introduction to JAVA | Java Full Course for Beginners in 2026 (59m 7s)&#10;#2 Write Your First JAVA Program | JVM, JDK &amp; JRE Explained (41m 34s)"/>
    <hyperlink ref="K5" r:id="rId12" display="#1 Introduction to Java (Hindi) | What is Java? Explain with Syntax and Example (11m 41s)&#10;#9 History of Java Language (Hindi) | जावा का इतिहास क्या है? (5m 26s)&#10;#10 Features of Java (Hindi) (6m 59s)"/>
    <hyperlink ref="G6" r:id="rId13" display="#1 How to Install Java OpenJDK on Windows 11 (11m 48s)&#10;#3 Install IntelliJ IDEA in 5 Minutes! 🚀 Easiest Way for Beginners (2026 Windows Guide) (4m 55s)"/>
    <hyperlink ref="H6" r:id="rId14" display="#5 Steps of JAVA  / JDK  Installation | Writing, Execution of Java Program (1h 25m 21s)&#10;#20 API Documentation &amp; Eclipse IDE Setup (1h 29m 34s)"/>
    <hyperlink ref="K6" r:id="rId15" display="#2 How To Setup JAVA For Visual Studio Code | Installation &amp; Code Example (7m 56s)&#10;#13 First Java Program | Java Hello World program (4m 41s)"/>
    <hyperlink ref="G7" r:id="rId16" display="#2 What is JDK, JVM, JRE, javac, Byte code, JIT ? Complete Execution Process ! (12m 23s)"/>
    <hyperlink ref="H7" r:id="rId17" display="#6 Java Compiler v/s Interpreter | What is JVM (1h 28m 24s)"/>
    <hyperlink ref="I7" r:id="rId18" display="#3 How Java Program Works and its 3 Important Components (JVM, JRE and JDK) with Example (36m 2s)"/>
    <hyperlink ref="J7" r:id="rId19" display="#2 Write Your First JAVA Program | JVM, JDK &amp; JRE Explained (41m 34s)"/>
    <hyperlink ref="K7" r:id="rId20" display="#8 JDK JRE and JVM in Java (Hindi) (6m 9s)&#10;#11 Java program Compilation and Execution process in Detail (Hindi) (6m 55s)"/>
    <hyperlink ref="G8" r:id="rId21" display="#4 Understanding the skeleton of a Java Program (10m 2s)"/>
    <hyperlink ref="H8" r:id="rId22" display="#8 Implementation of Class | Execution Flow Of Logic From main() Method (1h 27m 17s)"/>
    <hyperlink ref="I8" r:id="rId23" display="#4 Quiz Question: Why only 1 Public Class in JAVA file (6m 16s)"/>
    <hyperlink ref="J8" r:id="rId24" display="#2 Write Your First JAVA Program | JVM, JDK &amp; JRE Explained (41m 34s)&#10;#18 AutoBoxing, Abstract classes &amp; POJOs | Why only one public class in java file (1h 12m 1s)"/>
    <hyperlink ref="K8" r:id="rId25" display="#12 Why public static void main(String args[ ]) in Java? full Explanation (9m 32s)&#10;#13 First Java Program | Java Hello World program (4m 41s)&#10;#14 comments in java | types of comments in java (10m 42s)&#10;#132 ELC and BLC in Java | Executable &amp; Non-Executable Class (14m 51s)"/>
    <hyperlink ref="G9" r:id="rId26" display="#5 Primitive Data Types in Java in Hindi (57m 9s)"/>
    <hyperlink ref="H9" r:id="rId27" display="#9 Overview of Object | Variables &amp; Datatypes (1h 25m 7s)&#10;#10 Primitive Datatypes | Range of Values &amp; Memory Allocation (1h 26m 19s)&#10;#11 Memory of Primitive Datatypes | Categories of Non-Primitive Data Types (1h 28m 34s)"/>
    <hyperlink ref="I9" r:id="rId28" display="#5 Java Variables - Part1 | Primitive Data Types in Depth (48m 32s)&#10;#7 Java Variables - Part2 | Reference/Non-Primitive Data Types in Depth (42m 51s)"/>
    <hyperlink ref="J9" r:id="rId29" display="#3 Java Variables &amp; Data Types Explained | Identifiers, Literals, Keywords (1h 6m 43s)"/>
    <hyperlink ref="K9" r:id="rId30" display="#15 Data Types in Java (Hindi) | What is DataType? full Explanation (5m 24s)"/>
    <hyperlink ref="I10" r:id="rId31" display="#6 How FLOAT and DOUBLE  Number Stored in Memory? | IEEE 754 Representation (20m 50s)"/>
    <hyperlink ref="J10" r:id="rId32" display="#4 How Java Stores Negative &amp; Floating Point Numbers (57m 55s)"/>
    <hyperlink ref="G11" r:id="rId33" display="#6 Java Essentials: How to Properly Name Your Variables (8m 10s)"/>
    <hyperlink ref="H11" r:id="rId34" display="#12 Data Types &amp; Variables in JAVA (1h 52m 23s)&#10;#13 Static vs Non-Static  Variables (2h 4m 20s)&#10;#14 Static V/S Non-Static  Variables (1h 24m 31s)&#10;#23 Naming Conventions in Java (1h 33m 53s)"/>
    <hyperlink ref="J11" r:id="rId35" display="#3 Java Variables &amp; Data Types Explained | Identifiers, Literals, Keywords (1h 6m 43s)"/>
    <hyperlink ref="K11" r:id="rId36" display="▶ 6 videos: #16–18, #23–25  (~0.9 h)&#10;Starts with: Variables in Java (Hindi) | What is variable? full Explanation with types"/>
    <hyperlink ref="H12" r:id="rId37" display="#63 Type Casting | Implicit &amp; Explicit Type Casting (1h 30m 55s)"/>
    <hyperlink ref="J12" r:id="rId38" display="#5 Java Type Conversions &amp; Type Promotions Explained | Casting in Java (36m 43s)"/>
    <hyperlink ref="K12" r:id="rId39" display="#20 Type Casting in Java with Example (Hindi) (11m 35s)"/>
    <hyperlink ref="G13" r:id="rId40" display="#7 Become a Math Wiz: Understanding Arithmetic Operators – From Basics to Advanced! (31m 18s)"/>
    <hyperlink ref="H13" r:id="rId41" display="#24 Types of Operators in Java (1h 31m 53s)&#10;#25 Types of Operators In Java (1h 42m 43s)&#10;#26 Operators In Java (1h 25m 54s)"/>
    <hyperlink ref="I13" r:id="rId42" display="#21 Operators in Java | Different Types of Operators in JAVA (57m 6s)"/>
    <hyperlink ref="J13" r:id="rId43" display="#6 Java Operators | Arithmetic + Unary + Logical + Bitwise + Assignment Operators (2h 8m 10s)"/>
    <hyperlink ref="K13" r:id="rId44" display="▶ 7 videos: #26–32  (~0.8 h)&#10;Starts with: Operators in Java (Hindi) | What is Operator? Discuss with types"/>
    <hyperlink ref="G14" r:id="rId45" display="#8 Bitwise operators in Java (17m 40s)"/>
    <hyperlink ref="J14" r:id="rId46" display="#6 Java Operators | Arithmetic + Unary + Logical + Bitwise + Assignment Operators (2h 8m 10s)"/>
    <hyperlink ref="K14" r:id="rId47" display="#33 Bitwise Operators Example in Java (Hindi) (11m 28s)"/>
    <hyperlink ref="G15" r:id="rId48" display="#9 Println vs Print vs Printf in Java (20m 49s)"/>
    <hyperlink ref="H15" r:id="rId49" display="#33 User Dynamic Input of Data In Java (1h 37m 10s)"/>
    <hyperlink ref="J15" r:id="rId50" display="#20 Java I/O Deep Dive | InputStreams, System.in, Scanner vs BufferedReader (1h 11m 13s)"/>
    <hyperlink ref="K15" r:id="rId51" display="#21 Input &amp; Output in Java (hindi) (13m 18s)&#10;#22 How to take input from user in Java (6m 49s)&#10;#130 Console Class in Java with Example | readLine() and readPassword() methods in Java (10m 23s)"/>
    <hyperlink ref="G16" r:id="rId52" display="#12 How to Use Conditional Statements in Java: If, Else If, Else, Switch case (32m 22s)"/>
    <hyperlink ref="H16" r:id="rId53" display="#27 Control Flow Statements (1h 36m 35s)&#10;#28 Control Statements In Java (1h 19m 2s)&#10;#29 Switch Statement In Java (1h 41m 33s)"/>
    <hyperlink ref="I16" r:id="rId54" display="#22 Control Flow Statements in Java | Decision Making, Looping and Branching Statements (52m 9s)"/>
    <hyperlink ref="J16" r:id="rId55" display="#7 Java Conditional Statements | If, If-Else, If-Else-If Ladder, Switch Explained (1h 21m 29s)"/>
    <hyperlink ref="K16" r:id="rId56" display="▶ 6 videos: #34–39  (~1.0 h)&#10;Starts with: Decision Making Statements ( if, if else, else if ladder, nested if else, switch) in Java"/>
    <hyperlink ref="G17" r:id="rId57" display="#13 Java Loops Explained: For, While, and Do-While Loops (30m 54s)"/>
    <hyperlink ref="H17" r:id="rId58" display="#30 Looping Statements In Java (1h 41m 3s)&#10;#31 Looping Statements In Java (1h 28m 29s)&#10;#32 Branching Statements In Java (1h 24m 40s)"/>
    <hyperlink ref="I17" r:id="rId59" display="#22 Control Flow Statements in Java | Decision Making, Looping and Branching Statements (52m 9s)"/>
    <hyperlink ref="J17" r:id="rId60" display="#8 Java Loops &amp; Jump Statements | for, while, do-while, break, continue Explained (1h 25m 7s)"/>
    <hyperlink ref="K17" r:id="rId61" display="▶ 6 videos: #40–45  (~1.0 h)&#10;Starts with: Looping Statements in Java (Hindi) | loops in Java"/>
    <hyperlink ref="G18" r:id="rId62" display="#14 Mastering Java Arrays: 1D, 2D, and Jagged Arrays Explained (34m 41s)"/>
    <hyperlink ref="H18" r:id="rId63" display="#36 Arrays In Java (1h 37m 37s)&#10;#37 Arrays &amp; Array Operations In Java (1h 41m 16s)&#10;#38 Arrays &amp; Array Operations In Java (1h 39m 46s)"/>
    <hyperlink ref="J18" r:id="rId64" display="#9 Introduction to Arrays | Declaration, Initialization, Traversal (1h 47m 1s)&#10;#10 How Arrays work in Java | Heap, Contiguous Storage, Random Access (54m 3s)"/>
    <hyperlink ref="K18" r:id="rId65" display="#91 Arrays in Java (Hindi) | What is array? Explain with Syntax &amp; Example (17m 8s)"/>
    <hyperlink ref="H19" r:id="rId66" display="#37 Arrays &amp; Array Operations In Java (1h 41m 16s)&#10;#38 Arrays &amp; Array Operations In Java (1h 39m 46s)"/>
    <hyperlink ref="K19" r:id="rId67" display="▶ 16 videos: #92–107  (~2.4 h)&#10;Starts with: Print array elements in Java"/>
    <hyperlink ref="H21" r:id="rId68" display="#39 Command Line Arguments In Java (1h 28m 55s)"/>
    <hyperlink ref="J21" r:id="rId69" display="#15 Static &amp; Final in Java | Static Methods, Blocks &amp; String[] args (45m 28s)"/>
    <hyperlink ref="G22" r:id="rId70" display="#16 Methods in Java (29m 38s)"/>
    <hyperlink ref="H22" r:id="rId71" display="#15 Methods in Java (1h 27m 2s)&#10;#16 Methods in Java (1h 32m 57s)&#10;#17 Methods in Java (1h 29m 47s)&#10;#18 How to Access Methods in Java (1h 33m 36s)"/>
    <hyperlink ref="I22" r:id="rId72" display="#8 Java Methods in Depth | Different Types of Methods with Examples (1h 1m 10s)"/>
    <hyperlink ref="J22" r:id="rId73" display="#11 Java Functions Deep Dive | Recursion (1h 24m 50s)"/>
    <hyperlink ref="K22" r:id="rId74" display="#121 Methods in Java (Hindi) | What is method? Explain with Syntax &amp; Example (13m 37s)&#10;#122 Static vs Non-Static Method in Java (7m 28s)&#10;#123 How to use Methods in Java (12m 38s)&#10;#172 var arg method in java (13m 7s)"/>
    <hyperlink ref="G23" r:id="rId75" display="#17 Easiest Way to Learn Recursion: Beginner-Friendly Guide (13m 23s)"/>
    <hyperlink ref="J23" r:id="rId76" display="#11 Java Functions Deep Dive | Recursion (1h 24m 50s)"/>
    <hyperlink ref="K23" r:id="rId77" display="#124 Recursion in Java (Hindi) (12m 34s)&#10;#125 Java Program to Find Factorial using Recursion (11m 28s)"/>
    <hyperlink ref="J24" r:id="rId78" display="#14 Objects Deep Dive | Size, Call by Value vs Reference (44m 21s)"/>
    <hyperlink ref="K25" r:id="rId79" display="▶ 56 videos: #19, #48–83, #85–90, #108–120  (~8.2 h)&#10;Starts with: Add two numbers program in Java (without user input)"/>
    <hyperlink ref="G26" r:id="rId80" display="#10 Java Strings Explained: Understanding String Data Types, Heap Storage, and String Pool (18m 38s)"/>
    <hyperlink ref="J26" r:id="rId81" display="#25 Java Strings | String Pool, Immutability, Internals (1h 8m 59s)"/>
    <hyperlink ref="K26" r:id="rId82" display="#126 What is String? full Explanation | Why String is Immutable in Java (19m 12s)"/>
    <hyperlink ref="G27" r:id="rId83" display="#11 Master Java String Methods: A Comprehensive Guide for Beginners (26m 8s)"/>
    <hyperlink ref="H27" r:id="rId84" display="#19 String Methods &amp; Operations in Java (1h 30m 44s)"/>
    <hyperlink ref="J27" r:id="rId85" display="#26 Java Strings Part 2 | All String Methods + StringBuilder vs StringBuffer (1h 15m 55s)"/>
    <hyperlink ref="K27" r:id="rId86" display="#127 Java Program to Compare Two Strings (8m 43s)&#10;#128 String Methods in Java | toLowerCase(), toUpperCase(), concat(), length(), trim(), replace() etc... (11m 46s)"/>
    <hyperlink ref="G28" r:id="rId87" display="#37 Java String vs StringBuilder vs StringBuffer: Best Practices &amp; Performance (13m 15s)"/>
    <hyperlink ref="J28" r:id="rId88" display="#26 Java Strings Part 2 | All String Methods + StringBuilder vs StringBuffer (1h 15m 55s)"/>
    <hyperlink ref="K28" r:id="rId89" display="#129 Java program to reverse a string | StringBuffer and StringBuilder Class in Java (8m 56s)"/>
    <hyperlink ref="G30" r:id="rId90" display="#15 Master OOP in Java: Encapsulation, Abstraction, Polymorphism &amp; Inheritance Explained in 20 Minutes (22m 47s)"/>
    <hyperlink ref="I30" r:id="rId91" display="#2 OOPs Concept in Java with Examples | 4 Pillars of Object Oriented Programming (OOPs) (1h 36m 42s)"/>
    <hyperlink ref="J30" r:id="rId92" display="#12 Object Oriented Programming  in Java | Classes, Objects, new Keyword (1h 5m 11s)"/>
    <hyperlink ref="K30" r:id="rId93" display="#133 Java Basic OOP Concepts | Features of OOPs in Java (6m 19s)"/>
    <hyperlink ref="H31" r:id="rId94" display="#7 Features of Java | Platform Dependent vs InDependent (1h 28m 2s)&#10;#8 Implementation of Class | Execution Flow Of Logic From main() Method (1h 27m 17s)"/>
    <hyperlink ref="I31" r:id="rId95" display="#11 Java Classes in Depth - Part1 | Nested Class, Concrete, Abstract, Object, Super and Sub Class (50m 21s)"/>
    <hyperlink ref="J31" r:id="rId96" display="#12 Object Oriented Programming  in Java | Classes, Objects, new Keyword (1h 5m 11s)"/>
    <hyperlink ref="K31" r:id="rId97" display="#134 Class and Object in Java (9m 41s)&#10;#168 new keyword in java (12m 32s)"/>
    <hyperlink ref="G32" r:id="rId98" display="#20 What are constructors in Java ? (8m)"/>
    <hyperlink ref="H32" r:id="rId99" display="#34 Constructors In Java (1h 25m 56s)&#10;#35 Constructors &amp; Types of Constructors In Java (1h 29m 48s)"/>
    <hyperlink ref="I32" r:id="rId100" display="#9 Java Constructor in Depth | Different Types of Constructor with Examples (35m 25s)"/>
    <hyperlink ref="J32" r:id="rId101" display="#13 Constructors in Java | Constructor Chaining, Overloading &amp; this (58m 2s)"/>
    <hyperlink ref="K32" r:id="rId102" display="▶ 6 videos: #135–140  (~0.9 h)&#10;Starts with: Constructors in Java | what is constructor? with syntax and example"/>
    <hyperlink ref="K33" r:id="rId103" display="#141 instance block in java (8m 47s)&#10;#142 static block in java (8m 12s)&#10;#143 instance block Vs static block in Java (7m 56s)"/>
    <hyperlink ref="H34" r:id="rId104" display="#53 this &amp; super keywords | Difference between this &amp;  super (1h 37m 34s)&#10;#54 this &amp; super keywords | Difference between this &amp;  super (1h 36m 16s)&#10;#55 this &amp; super keywords | Difference between this &amp;  super (1h 24m 25s)"/>
    <hyperlink ref="J34" r:id="rId105" display="#13 Constructors in Java | Constructor Chaining, Overloading &amp; this (58m 2s)&#10;#16 Encapsulation &amp; Inheritance in Java | Java Packages &amp; Super Keyword (1h 38m 2s)"/>
    <hyperlink ref="K34" r:id="rId106" display="#149 Super Keyword in Java (14m 14s)&#10;#150 this keyword in java (14m 15s)"/>
    <hyperlink ref="G35" r:id="rId107" display="#19 Encapsulation in Java in 15 minutes (16m 49s)"/>
    <hyperlink ref="H35" r:id="rId108" display="#59 Encapsulation in Java | Data Binding in Java (1h 27m 15s)"/>
    <hyperlink ref="J35" r:id="rId109" display="#16 Encapsulation &amp; Inheritance in Java | Java Packages &amp; Super Keyword (1h 38m 2s)"/>
    <hyperlink ref="K35" r:id="rId110" display="#154 Encapsulation in Java (10m 46s)"/>
    <hyperlink ref="G36" r:id="rId111" display="#24 Access Modifiers: Public, Private, Default &amp; Protected (25m 11s)"/>
    <hyperlink ref="H36" r:id="rId112" display="#58 Access Specifiers | Access Modifiers (50m)"/>
    <hyperlink ref="G37" r:id="rId113" display="#21 Inheritance in Java (34m 36s)"/>
    <hyperlink ref="H37" r:id="rId114" display="#41 Inheritence &amp; Types of Inheritence In Java (1h 28m 5s)&#10;#42 Inheritence  &amp; Types of Inheritence In Java (1h 20m 10s)&#10;#43 Implementation of Inheritence With Examples (1h 36m 2s)"/>
    <hyperlink ref="J37" r:id="rId115" display="#16 Encapsulation &amp; Inheritance in Java | Java Packages &amp; Super Keyword (1h 38m 2s)"/>
    <hyperlink ref="K37" r:id="rId116" display="▶ 5 videos: #144–148  (~0.7 h)&#10;Starts with: Inheritance in Java (hindi) | What is Inheritance? full Explanation"/>
    <hyperlink ref="G38" r:id="rId117" display="#16 Methods in Java (29m 38s)&#10;#22 Polymorphism: Compile Time vs Run Time ( Dynamic Method Dispatch ) (14m 45s)"/>
    <hyperlink ref="H38" r:id="rId118" display="#50 Method Overloading &amp; Method Overriding | Polymorphism (1h 29m 38s)&#10;#51 Method Overriding | Real Time Examples of Method Overriding (1h 31m 11s)"/>
    <hyperlink ref="J38" r:id="rId119" display="#11 Java Functions Deep Dive | Recursion (1h 24m 50s)"/>
    <hyperlink ref="K38" r:id="rId120" display="#152 Method Overloading in Java (9m 59s)&#10;#153 Method Overriding in Java (11m 16s)&#10;#170 @override annotation in java (10m 4s)&#10;#171 covariant return type in java (10m 43s)"/>
    <hyperlink ref="G39" r:id="rId121" display="#22 Polymorphism: Compile Time vs Run Time ( Dynamic Method Dispatch ) (14m 45s)"/>
    <hyperlink ref="H39" r:id="rId122" display="#56 polymorphism | compiletime/static &amp; runtime/dynamic polymorphism (1h 32m 30s)&#10;#57 polymorphism | compiletime/static &amp; runtime/dynamic polymorphism (1h 8m 9s)"/>
    <hyperlink ref="J39" r:id="rId123" display="#17 Abstraction &amp; Polymorphism in Depth | Abstract Class vs Interfaces (1h 28m 1s)"/>
    <hyperlink ref="K39" r:id="rId124" display="#151 Polymorphism in Java (4m 7s)"/>
    <hyperlink ref="G41" r:id="rId125" display="#23 Abstraction in Java (19m 35s)"/>
    <hyperlink ref="H41" r:id="rId126" display="#44 Abstraction in Java | Interfaces in Java (1h 29m 17s)&#10;#48 Abstract Classes &amp; Abstract Methods | Interface vs Abstract Class (1h 35m 50s)&#10;#49 Abstract Classes &amp; Abstract Methods | Interface v/s Abstract Class (1h 37m 5s)"/>
    <hyperlink ref="J41" r:id="rId127" display="#17 Abstraction &amp; Polymorphism in Depth | Abstract Class vs Interfaces (1h 28m 1s)&#10;#18 AutoBoxing, Abstract classes &amp; POJOs | Why only one public class in java file (1h 12m 1s)"/>
    <hyperlink ref="K41" r:id="rId128" display="#155 Abstraction in Java (Hindi) (6m 46s)&#10;#156 Abstract Class in Java (10m 45s)&#10;#157 abstract class program in java (9m 3s)&#10;#158 Abstract Method in Java (18m 45s)"/>
    <hyperlink ref="G42" r:id="rId129" display="#27 Mastering Java Interfaces: Static &amp; Default Methods, Multiple Inheritance Explained (26m 6s)"/>
    <hyperlink ref="H42" r:id="rId130" display="▶ 5 videos: #44–45, #47, #64–65  (~7.2 h)&#10;Starts with: Abstraction in Java | Interfaces in Java"/>
    <hyperlink ref="I42" r:id="rId131" display="#15 Java Interface in Depth - Part1 (44m 56s)&#10;#16 Default, Static &amp; Private Method in Interface - Java8 and Java9 features | Java Interfaces Part2 (28m 22s)"/>
    <hyperlink ref="J42" r:id="rId132" display="#24 Java Interfaces Deep Dive | Default Methods, Functional, Marker Interfaces (59m 55s)"/>
    <hyperlink ref="K42" r:id="rId133" display="▶ 8 videos: #159–166  (~1.6 h)&#10;Starts with: Interface in Java"/>
    <hyperlink ref="H43" r:id="rId134" display="#46 Interfaces &amp; Abstract Classes | Interface v/s Abstract Class (1h 15m 15s)&#10;#48 Abstract Classes &amp; Abstract Methods | Interface vs Abstract Class (1h 35m 50s)&#10;#49 Abstract Classes &amp; Abstract Methods | Interface v/s Abstract Class (1h 37m 5s)"/>
    <hyperlink ref="J43" r:id="rId135" display="#17 Abstraction &amp; Polymorphism in Depth | Abstract Class vs Interfaces (1h 28m 1s)"/>
    <hyperlink ref="K43" r:id="rId136" display="#177 Difference between abstract class and interface in java | Interface Vs Abstract Class (10m 1s)"/>
    <hyperlink ref="G44" r:id="rId137" display="#18 Understand Packages and Classpath in 15 minutes (16m 26s)"/>
    <hyperlink ref="H44" r:id="rId138" display="#21 packages in Java (1h 32m 56s)&#10;#22 package &amp; import in Java (1h 34m 29s)"/>
    <hyperlink ref="J44" r:id="rId139" display="#16 Encapsulation &amp; Inheritance in Java | Java Packages &amp; Super Keyword (1h 38m 2s)"/>
    <hyperlink ref="K44" r:id="rId140" display="#200 Packages in Java (10m 41s)&#10;#201 Built in Package in Java (15m 11s)&#10;#202 User-defined Package in Java (21m 53s)"/>
    <hyperlink ref="G45" r:id="rId141" display="#25 Mastering Static in Java: Static variable, method &amp; block (18m 50s)"/>
    <hyperlink ref="H45" r:id="rId142" display="#13 Static vs Non-Static  Variables (2h 4m 20s)&#10;#14 Static V/S Non-Static  Variables (1h 24m 31s)"/>
    <hyperlink ref="J45" r:id="rId143" display="#15 Static &amp; Final in Java | Static Methods, Blocks &amp; String[] args (45m 28s)"/>
    <hyperlink ref="K45" r:id="rId144" display="#122 Static vs Non-Static Method in Java (7m 28s)&#10;#142 static block in java (8m 12s)&#10;#143 instance block Vs static block in Java (7m 56s)"/>
    <hyperlink ref="G46" r:id="rId145" display="#26 Mastering the Final Keyword in Java: Everything You Need to Know! (10m 36s)"/>
    <hyperlink ref="H46" r:id="rId146" display="#52 final class &amp; final methods | abstract class vs final class (1h 28m 37s)"/>
    <hyperlink ref="J46" r:id="rId147" display="#15 Static &amp; Final in Java | Static Methods, Blocks &amp; String[] args (45m 28s)"/>
    <hyperlink ref="K46" r:id="rId148" display="#167 final keyword in java | final variable, final method and final class in java (14m 52s)"/>
    <hyperlink ref="G48" r:id="rId149" display="#28 Exploring Inner Classes in Java: Static, Member, Local, and Anonymous Types (35m 25s)"/>
    <hyperlink ref="I48" r:id="rId150" display="#11 Java Classes in Depth - Part1 | Nested Class, Concrete, Abstract, Object, Super and Sub Class (50m 21s)"/>
    <hyperlink ref="J48" r:id="rId151" display="#19 Java Nested Classes | Static Nested, Inner, Local &amp; Anonymous Classes (1h 20m 58s)"/>
    <hyperlink ref="H49" r:id="rId152" display="#61 Object class | Object Class Methods (1h 31m 13s)&#10;#62 Object class | equals() &amp; hashcode() contract (1h 32m 28s)"/>
    <hyperlink ref="J49" r:id="rId153" display="#22 Most Important Class in Java | Object Class (equals, hashCode, toString) (1h 7m 31s)"/>
    <hyperlink ref="J50" r:id="rId154" display="#14 Objects Deep Dive | Size, Call by Value vs Reference (44m 21s)"/>
    <hyperlink ref="K50" r:id="rId155" display="#138 Copy Constructor in Java (7m 2s)"/>
    <hyperlink ref="I51" r:id="rId156" display="#14 Java Singleton and Immutable Class Explained with Examples | Java Classes in Depth - Part4 (28m 26s)"/>
    <hyperlink ref="J51" r:id="rId157" display="#21 Immutable Classes in Java | How to Create Immutable Objects (35m 4s)"/>
    <hyperlink ref="H52" r:id="rId158" display="#60 POJO class Implementation | Setter &amp; Getter Methods (1h 23m 34s)"/>
    <hyperlink ref="I52" r:id="rId159" display="#13 Java Enum, POJO and Final Classes Explained with Examples | Java Classes in Depth - Part3 (43m 10s)"/>
    <hyperlink ref="J52" r:id="rId160" display="#18 AutoBoxing, Abstract classes &amp; POJOs | Why only one public class in java file (1h 12m 1s)"/>
    <hyperlink ref="G53" r:id="rId161" display="#30 Mastering Wrapper Classes in Java: Autoboxing, Autounboxing, Methods Explained (16m 18s)"/>
    <hyperlink ref="H53" r:id="rId162" display="#40 Wrapper Classes In Java (1h 33m 41s)"/>
    <hyperlink ref="J53" r:id="rId163" display="#18 AutoBoxing, Abstract classes &amp; POJOs | Why only one public class in java file (1h 12m 1s)"/>
    <hyperlink ref="G54" r:id="rId164" display="#32 Understanding Enums in Java: Internal working, toString, values, ordinal, valueOf &amp; much more ! (24m 39s)"/>
    <hyperlink ref="H54" r:id="rId165" display="#98 Constructor References | ENUM (1h 3m 36s)"/>
    <hyperlink ref="I54" r:id="rId166" display="#13 Java Enum, POJO and Final Classes Explained with Examples | Java Classes in Depth - Part3 (43m 10s)"/>
    <hyperlink ref="J54" r:id="rId167" display="#23 Java Enums | Why Not Use int/String for Constants? (1h 12m 9s)&#10;#34 Set &amp; Map Methods Explained | EnumMaps, IdentityHashMaps &amp; More (1h 11m 20s)"/>
    <hyperlink ref="I55" r:id="rId168" display="#46 Java 16: Record class (35m 45s)"/>
    <hyperlink ref="I56" r:id="rId169" display="#42 Java 17 : Sealed Classes and Interfaces (10m 30s)"/>
    <hyperlink ref="G57" r:id="rId170" display="#31 Master Math in Java: Min, Max, Ceil, Floor, Round, Random, Pi, Log, Sin, Cos &amp; More! (10m 25s)"/>
    <hyperlink ref="G58" r:id="rId171" display="#29 Master Exceptions in Java: Try, Catch, Finally, Throw, Throws, try-with-resources &amp; Custom Exception (52m 21s)"/>
    <hyperlink ref="H58" r:id="rId172" display="#70 Lambda Exp. Examples | Exception Handling (1h 31m 12s)&#10;#71 Exception Handling | Exception Classes (1h 30m 41s)"/>
    <hyperlink ref="I58" r:id="rId173" display="#20 Exception Handling in Java with Examples (1h 14m 41s)"/>
    <hyperlink ref="J58" r:id="rId174" display="#43 Java Exception Handling from Scratch | Exceptions vs Errors (55m 46s)&#10;#44 Exception Hierarchy Deep Dive | throw vs throws (1h 5m 23s)"/>
    <hyperlink ref="K58" r:id="rId175" display="#173 Exception Handling in Java | ArithmeticException (19m 44s)&#10;#174 Exception Hierarchy in Java | NullPointerException (15m 32s)&#10;#182 Difference Between Checked and Unchecked Exception (11m 43s)&#10;#193 Difference Between Exception and Error (5m 36s)"/>
    <hyperlink ref="G59" r:id="rId176" display="#29 Master Exceptions in Java: Try, Catch, Finally, Throw, Throws, try-with-resources &amp; Custom Exception (52m 21s)"/>
    <hyperlink ref="H59" r:id="rId177" display="#72 Exception Handling | Types of Exceptions (1h 35m 43s)&#10;#73 Exception Handling | try catch finally blocks (1h 35m 10s)&#10;#74 Exception Handling | try catch finally blocks (1h 30m 49s)"/>
    <hyperlink ref="I59" r:id="rId178" display="#20 Exception Handling in Java with Examples (1h 14m 41s)"/>
    <hyperlink ref="J59" r:id="rId179" display="#43 Java Exception Handling from Scratch | Exceptions vs Errors (55m 46s)"/>
    <hyperlink ref="K59" r:id="rId180" display="▶ 7 videos: #175–176, #178–181, #183  (~1.6 h)&#10;Starts with: try catch block in java | NumberFormatException"/>
    <hyperlink ref="G60" r:id="rId181" display="#29 Master Exceptions in Java: Try, Catch, Finally, Throw, Throws, try-with-resources &amp; Custom Exception (52m 21s)"/>
    <hyperlink ref="H60" r:id="rId182" display="#75 Exception Handling | finally blocks (1h 35m 25s)&#10;#76 Exception Handling | throws v/s throw (1h 42m 52s)"/>
    <hyperlink ref="J60" r:id="rId183" display="#44 Exception Hierarchy Deep Dive | throw vs throws (1h 5m 23s)"/>
    <hyperlink ref="K60" r:id="rId184" display="▶ 6 videos: #186–190, #192  (~1.1 h)&#10;Starts with: throw keyword in java"/>
    <hyperlink ref="G61" r:id="rId185" display="#29 Master Exceptions in Java: Try, Catch, Finally, Throw, Throws, try-with-resources &amp; Custom Exception (52m 21s)"/>
    <hyperlink ref="G62" r:id="rId186" display="#29 Master Exceptions in Java: Try, Catch, Finally, Throw, Throws, try-with-resources &amp; Custom Exception (52m 21s)"/>
    <hyperlink ref="H62" r:id="rId187" display="#76 Exception Handling | throws v/s throw (1h 42m 52s)"/>
    <hyperlink ref="J62" r:id="rId188" display="#44 Exception Hierarchy Deep Dive | throw vs throws (1h 5m 23s)"/>
    <hyperlink ref="K62" r:id="rId189" display="#191 user defined exception in java (12m 51s)"/>
    <hyperlink ref="K63" r:id="rId190" display="#184 finalize method in java (6m 22s)&#10;#185 Difference between final, finally and finalize | final Vs finally Vs finalize (9m 7s)"/>
    <hyperlink ref="G65" r:id="rId191" display="#35 Java Generics Explained: Classes, Methods, Interfaces, Enums, &amp; Exceptions (58m 13s)"/>
    <hyperlink ref="H65" r:id="rId192" display="#78 Collections Framework | List Interface &amp; Impl. Classes (1h 33m 58s)&#10;#79 Collections Framework | List Interface &amp; Impl. Classes (1h 26m 20s)"/>
    <hyperlink ref="I65" r:id="rId193" display="#12 Java Generic Classes | Java Classes in Depth - Part2 (51m 58s)"/>
    <hyperlink ref="J65" r:id="rId194" display="#27 Java Generics Deep Dive | Bounded Types using extends (1h 5m 8s)"/>
    <hyperlink ref="J66" r:id="rId195" display="#27 Java Generics Deep Dive | Bounded Types using extends (1h 5m 8s)&#10;#28 Wildcards in Generics | ?, ? extends, ? super (1h 22m 24s)"/>
    <hyperlink ref="G68" r:id="rId196" display="#36 Complete Java Collections Framework &amp; Streams Masterclass 2026 (7h 49m 16s)"/>
    <hyperlink ref="H68" r:id="rId197" display="#77 Collections Framework | Interfaces &amp; Classes (1h 30m 25s)"/>
    <hyperlink ref="I68" r:id="rId198" display="#23 Collections in Java - Part1 | Java Collections Framework in depth (41m 26s)"/>
    <hyperlink ref="J68" r:id="rId199" display="#29 Java Collection Framework Explained | Data Structures + Complete Hierarchy (1h 15m 58s)&#10;#31 Java Collection Interface Deep Dive | Methods &amp; Internals (29m 15s)"/>
    <hyperlink ref="K68" r:id="rId200" display="#223 Collections Framework in Java (24m 39s)"/>
    <hyperlink ref="J69" r:id="rId201" display="#30 Iterable Interface in Java | Why Iterator Exists? (1h 16m 1s)"/>
    <hyperlink ref="G70" r:id="rId202" display="#36 Complete Java Collections Framework &amp; Streams Masterclass 2026 (7h 49m 16s)"/>
    <hyperlink ref="H70" r:id="rId203" display="▶ 5 videos: #78–82  (~7.4 h)&#10;Starts with: Collections Framework | List Interface &amp; Impl. Classes"/>
    <hyperlink ref="I70" r:id="rId204" display="#25 Collections in Java - Part3 | Deque and List in Depth (1h 11m 57s)"/>
    <hyperlink ref="J70" r:id="rId205" display="#32 Java List Interface Deep Dive | ArrayList, LinkedList, Vector, Stack (44m 38s)"/>
    <hyperlink ref="G71" r:id="rId206" display="#36 Complete Java Collections Framework &amp; Streams Masterclass 2026 (7h 49m 16s)"/>
    <hyperlink ref="H71" r:id="rId207" display="#83 Collections Framework | Set Interface (1h 35m 38s)&#10;#86 Collection Framework | Map Interface (1h 11m 15s)"/>
    <hyperlink ref="I71" r:id="rId208" display="#28 Collections in Java - Part6 | SET (21m 21s)"/>
    <hyperlink ref="J71" r:id="rId209" display="#33 Set &amp; Map Interface in Java | Internal Working of HashMap, HashSet &amp; TreeMap (1h 37m 28s)"/>
    <hyperlink ref="G72" r:id="rId210" display="#36 Complete Java Collections Framework &amp; Streams Masterclass 2026 (7h 49m 16s)"/>
    <hyperlink ref="H72" r:id="rId211" display="#84 Collections Framework | Map Interface (1h 28m 12s)&#10;#85 Collections Framework | Map Interface (1h 38m 34s)&#10;#86 Collection Framework | Map Interface (1h 11m 15s)"/>
    <hyperlink ref="I72" r:id="rId212" display="#26 Collections in Java - Part4 | HashMap Internal Working in Java (58m 11s)"/>
    <hyperlink ref="J72" r:id="rId213" display="#33 Set &amp; Map Interface in Java | Internal Working of HashMap, HashSet &amp; TreeMap (1h 37m 28s)"/>
    <hyperlink ref="H73" r:id="rId214" display="#86 Collection Framework | Map Interface (1h 11m 15s)"/>
    <hyperlink ref="I73" r:id="rId215" display="#27 Collections in Java - Part5 | LinkedHashMap and TreeMap in depth (37m 21s)"/>
    <hyperlink ref="J73" r:id="rId216" display="#33 Set &amp; Map Interface in Java | Internal Working of HashMap, HashSet &amp; TreeMap (1h 37m 28s)&#10;#34 Set &amp; Map Methods Explained | EnumMaps, IdentityHashMaps &amp; More (1h 11m 20s)"/>
    <hyperlink ref="I74" r:id="rId217" display="#24 Collections in Java - Part2 | Comparator Vs Comparable (1h 1m 8s)&#10;#25 Collections in Java - Part3 | Deque and List in Depth (1h 11m 57s)"/>
    <hyperlink ref="J74" r:id="rId218" display="#35 Java Queue Interface Deep Dive | PriorityQueue &amp; Heap Explained (1h 17m 25s)"/>
    <hyperlink ref="I75" r:id="rId219" display="#24 Collections in Java - Part2 | Comparator Vs Comparable (1h 1m 8s)"/>
    <hyperlink ref="J75" r:id="rId220" display="#36 Comparable Interface in Java | Collections class (44m 35s)&#10;#37 Java Lambdas &amp; Functional Interfaces | Comparator Interface (49m 38s)"/>
    <hyperlink ref="J76" r:id="rId221" display="#36 Comparable Interface in Java | Collections class (44m 35s)"/>
    <hyperlink ref="H79" r:id="rId222" display="#68 Functional Interfaces | Lambda Expressions (1h 36m 57s)&#10;#69 Functional Interfaces | Lambda Expressions Implementation (1h 18m 43s)&#10;#70 Lambda Exp. Examples | Exception Handling (1h 31m 12s)"/>
    <hyperlink ref="I79" r:id="rId223" display="#17 Functional Interface and Lambda Expression - Java8 features | Java Interfaces Part3 (31m 32s)"/>
    <hyperlink ref="J79" r:id="rId224" display="#37 Java Lambdas &amp; Functional Interfaces | Comparator Interface (49m 38s)&#10;#38 Lambdas &amp; Functional Interface Deep Dive | Method References &amp; Composition (1h 55m 9s)"/>
    <hyperlink ref="H80" r:id="rId225" display="#68 Functional Interfaces | Lambda Expressions (1h 36m 57s)&#10;#69 Functional Interfaces | Lambda Expressions Implementation (1h 18m 43s)&#10;#87 Predicate, Function, Consumer, Supplier | Functional Interfaces (1h 26m 9s)&#10;#88 Predicate, Function, Consumer, Supplier | Functional Interfaces (1h 19m 48s)"/>
    <hyperlink ref="I80" r:id="rId226" display="#17 Functional Interface and Lambda Expression - Java8 features | Java Interfaces Part3 (31m 32s)"/>
    <hyperlink ref="J80" r:id="rId227" display="#37 Java Lambdas &amp; Functional Interfaces | Comparator Interface (49m 38s)&#10;#38 Lambdas &amp; Functional Interface Deep Dive | Method References &amp; Composition (1h 55m 9s)"/>
    <hyperlink ref="H81" r:id="rId228" display="#91 Method References  in JAVA | Constructor References in JAVA (1h 8m 16s)&#10;#98 Constructor References | ENUM (1h 3m 36s)&#10;#99 Method &amp; Constructor References | Types of Method Refereences (1h 9m 24s)"/>
    <hyperlink ref="J81" r:id="rId229" display="#38 Lambdas &amp; Functional Interface Deep Dive | Method References &amp; Composition (1h 55m 9s)"/>
    <hyperlink ref="H82" r:id="rId230" display="#92 Optional Class In Java &amp; Optional Class Methods in JAVA | Tutorail (1h 54m)&#10;#96 Optional Class &amp; Methods | Use Cases (1h 4m 20s)&#10;#97 Optional Class &amp; Methods | Use Cases (59m 42s)"/>
    <hyperlink ref="I82" r:id="rId231" display="#48 Master Java Optional from Java 8 to 11 | All Methods with Real Examples (1h 13m 53s)"/>
    <hyperlink ref="J82" r:id="rId232" display="#41 Java Optional Explained from Scratch | All Methods + Streams Integration (1h 16m 34s)&#10;#42 Parallel Streams in Java Explained | Primitive Optional Classes (42m 35s)"/>
    <hyperlink ref="G83" r:id="rId233" display="#36 Complete Java Collections Framework &amp; Streams Masterclass 2026 (7h 49m 16s)"/>
    <hyperlink ref="H83" r:id="rId234" display="#89 Stream API | Operations (1h 27m 52s)&#10;#90 Stream API | Stream Pipeline (1h 29m 9s)&#10;#93 Stream API in JAVA | All Stream API Methods &amp; Operations (2h 40m 23s)"/>
    <hyperlink ref="I83" r:id="rId235" display="#29 Streams in Java8 | Collections in Java - Part7 (1h 15m 10s)"/>
    <hyperlink ref="J83" r:id="rId236" display="#39 Introduction to Java Streams | Creation &amp; Architecture (1h 3m 20s)&#10;#40 Java Stream Methods Deep Dive | All Intermediate &amp; Terminal Operations (1h 12s)"/>
    <hyperlink ref="H84" r:id="rId237" display="#94 Stream API | Stream Pipeline (50m 49s)&#10;#95 Stream API | Stream Pipeline (1h 2m 25s)"/>
    <hyperlink ref="J84" r:id="rId238" display="#40 Java Stream Methods Deep Dive | All Intermediate &amp; Terminal Operations (1h 12s)"/>
    <hyperlink ref="J85" r:id="rId239" display="#42 Parallel Streams in Java Explained | Primitive Optional Classes (42m 35s)"/>
    <hyperlink ref="I87" r:id="rId240" display="#49 Java File Handling Explained | Streams, Buffers, Readers &amp; Writers (1h 5m)"/>
    <hyperlink ref="J87" r:id="rId241" display="#20 Java I/O Deep Dive | InputStreams, System.in, Scanner vs BufferedReader (1h 11m 13s)"/>
    <hyperlink ref="K87" r:id="rId242" display="▶ 6 videos: #194–199  (~1.0 h)&#10;Starts with: File Handling in Java | Java program to create a File"/>
    <hyperlink ref="I88" r:id="rId243" display="#50 Java NIO Deep Dive (Part-1): Advantages of NIO over Traditional File I/O (51m 30s)&#10;#51 Java NIO Deep Dive (Part2): ByteBuffer, HeapByteBuffer, DirectByteBuffer, MappedByteBuffer (47m 21s)&#10;#52 Java NIO Deep Dive (Part3): FileChannel and Complete Code Examples (50m 59s)"/>
    <hyperlink ref="G94" r:id="rId244" display="#33 Java Multithreading: Synchronization, Locks, Executors, Deadlock, CountdownLatch &amp; CompletableFuture (3h 55m 41s)"/>
    <hyperlink ref="H94" r:id="rId245" display="#100 Threads | Thread Life Cycle (51m)&#10;#101 Threads | Thread Life Cycle (1h 1m 38s)"/>
    <hyperlink ref="I94" r:id="rId246" display="#30 Multithreading and Concurrency in Java: Part1 | Threads, Process and their Memory Model in depth (47m 47s)&#10;#31 Thread Creation, Thread Lifecycle and Inter-Thread Communication | Multithreading in Java: Part2 (1h 8m 18s)"/>
    <hyperlink ref="J94" r:id="rId247" display="#47 Introduction to Multithreading in Java | Process vs Thread (51m 38s)&#10;#48 Java Thread Creation &amp; Lifecycle Explained from Scratch (1h 1m)"/>
    <hyperlink ref="K94" r:id="rId248" display="▶ 6 videos: #203–208  (~1.1 h)&#10;Starts with: Multithreading in Java (hindi) | Multitasking vs Multithreading"/>
    <hyperlink ref="I95" r:id="rId249" display="#32 Thread Joining, Daemon Thread, Thread Priority | Multithreading in Java: Part3 (45m 2s)"/>
    <hyperlink ref="J95" r:id="rId250" display="#49 Thread Methods | sleep, join, yield, interrupt, isAlive, priority &amp; more (39m 5s)"/>
    <hyperlink ref="K95" r:id="rId251" display="▶ 9 videos: #209–216, #222  (~1.1 h)&#10;Starts with: sleep() method in java multithreading"/>
    <hyperlink ref="I96" r:id="rId252" display="#30 Multithreading and Concurrency in Java: Part1 | Threads, Process and their Memory Model in depth (47m 47s)"/>
    <hyperlink ref="J96" r:id="rId253" display="#50 Problems in Multithreading | Race Condition, Visibility, Ordering Explained (55m 54s)"/>
    <hyperlink ref="K96" r:id="rId254" display="#217 multithreading problems and solutions in java | synchronization in java (17m 36s)"/>
    <hyperlink ref="G97" r:id="rId255" display="#33 Java Multithreading: Synchronization, Locks, Executors, Deadlock, CountdownLatch &amp; CompletableFuture (3h 55m 41s)"/>
    <hyperlink ref="H97" r:id="rId256" display="#102 Threads | Multi Threading (1h 4m 56s)"/>
    <hyperlink ref="J97" r:id="rId257" display="#51 Monitor Locks in Java | Synchronized Keyword, Static Sync &amp; Custom Locks (47m 57s)"/>
    <hyperlink ref="K97" r:id="rId258" display="#218 Synchronization in Java Multithreading (10m 43s)&#10;#219 synchronized method in java multithreading (12m 20s)&#10;#220 synchronized block in java multithreading (12m 13s)&#10;#221 static synchronization in java multithreading | fix synchronized problems in java (20m 56s)"/>
    <hyperlink ref="I98" r:id="rId259" display="#31 Thread Creation, Thread Lifecycle and Inter-Thread Communication | Multithreading in Java: Part2 (1h 8m 18s)"/>
    <hyperlink ref="J98" r:id="rId260" display="#52 Inter Thread Communication in Java | wait(), notify(), notifyAll() Deep Dive (1h 3m 17s)"/>
    <hyperlink ref="G99" r:id="rId261" display="#34 Volatile vs Atomic in Java: Thread Safety Explained (11m 46s)"/>
    <hyperlink ref="I99" r:id="rId262" display="#34 Lock-Free Concurrency | Compare-and-Swap (41m 53s)"/>
    <hyperlink ref="J99" r:id="rId263" display="#54 Lock-Free Concurrency in Java | AtomicVariables &amp; CAS Explained (49m 7s)"/>
    <hyperlink ref="G100" r:id="rId264" display="#33 Java Multithreading: Synchronization, Locks, Executors, Deadlock, CountdownLatch &amp; CompletableFuture (3h 55m 41s)"/>
    <hyperlink ref="J101" r:id="rId265" display="#50 Problems in Multithreading | Race Condition, Visibility, Ordering Explained (55m 54s)"/>
    <hyperlink ref="G102" r:id="rId266" display="#33 Java Multithreading: Synchronization, Locks, Executors, Deadlock, CountdownLatch &amp; CompletableFuture (3h 55m 41s)"/>
    <hyperlink ref="I102" r:id="rId267" display="#33 Locks and Condition | Java Multithreading Part4 (46m 48s)"/>
    <hyperlink ref="J102" r:id="rId268" display="#53 Java Locks | ReentrantLock, ReadWriteLock, StampedLock, Semaphore &amp; Condition (1h 20m 5s)"/>
    <hyperlink ref="I103" r:id="rId269" display="#34 Lock-Free Concurrency | Compare-and-Swap (41m 53s)"/>
    <hyperlink ref="J103" r:id="rId270" display="#54 Lock-Free Concurrency in Java | AtomicVariables &amp; CAS Explained (49m 7s)&#10;#55 Lock-Free Concurrency in Java - 2 | CAS Retry, Compare-and-Swap &amp; ABA Problem (31m 29s)"/>
    <hyperlink ref="G104" r:id="rId271" display="#33 Java Multithreading: Synchronization, Locks, Executors, Deadlock, CountdownLatch &amp; CompletableFuture (3h 55m 41s)"/>
    <hyperlink ref="I104" r:id="rId272" display="#33 Locks and Condition | Java Multithreading Part4 (46m 48s)"/>
    <hyperlink ref="J104" r:id="rId273" display="#53 Java Locks | ReentrantLock, ReadWriteLock, StampedLock, Semaphore &amp; Condition (1h 20m 5s)"/>
    <hyperlink ref="I106" r:id="rId274" display="#39 Java VirtualThreads vs Normal Threads | ThreadLocal in Java (22m 44s)"/>
    <hyperlink ref="J106" r:id="rId275" display="#57 CompletableFuture, Fork-Join Pool, ThreadLocal &amp; Virtual Threads (1h 22m 18s)"/>
    <hyperlink ref="G107" r:id="rId276" display="#33 Java Multithreading: Synchronization, Locks, Executors, Deadlock, CountdownLatch &amp; CompletableFuture (3h 55m 41s)"/>
    <hyperlink ref="I107" r:id="rId277" display="#35 Thread Pools in Java | ThreadPoolExecutor Framework (1h 16m 55s)&#10;#37 Java ForkJoinPool | WorkStealingPool (39m 15s)&#10;#38 Java ScheduledThreadPoolExecutor | Shutdown Vs AwaitTermination (23m 12s)"/>
    <hyperlink ref="J107" r:id="rId278" display="#56 Executor Framework Deep Dive | ThreadPool, Future &amp; Callable (1h 19m 14s)"/>
    <hyperlink ref="I108" r:id="rId279" display="#36 Java8 CompletableFuture | Future and Callable in Java (1h 6m 2s)"/>
    <hyperlink ref="J108" r:id="rId280" display="#56 Executor Framework Deep Dive | ThreadPool, Future &amp; Callable (1h 19m 14s)"/>
    <hyperlink ref="G109" r:id="rId281" display="#33 Java Multithreading: Synchronization, Locks, Executors, Deadlock, CountdownLatch &amp; CompletableFuture (3h 55m 41s)"/>
    <hyperlink ref="I109" r:id="rId282" display="#36 Java8 CompletableFuture | Future and Callable in Java (1h 6m 2s)"/>
    <hyperlink ref="J109" r:id="rId283" display="#57 CompletableFuture, Fork-Join Pool, ThreadLocal &amp; Virtual Threads (1h 22m 18s)"/>
    <hyperlink ref="I110" r:id="rId284" display="#37 Java ForkJoinPool | WorkStealingPool (39m 15s)"/>
    <hyperlink ref="J110" r:id="rId285" display="#57 CompletableFuture, Fork-Join Pool, ThreadLocal &amp; Virtual Threads (1h 22m 18s)"/>
    <hyperlink ref="I111" r:id="rId286" display="#39 Java VirtualThreads vs Normal Threads | ThreadLocal in Java (22m 44s)"/>
    <hyperlink ref="J111" r:id="rId287" display="#57 CompletableFuture, Fork-Join Pool, ThreadLocal &amp; Virtual Threads (1h 22m 18s)"/>
    <hyperlink ref="I113" r:id="rId288" display="#18 Java Reflection in Depth (Using Examples) (38m 2s)"/>
    <hyperlink ref="H114" r:id="rId289" display="#67 Annotations | Declaring Annotations (1h 30m 41s)"/>
    <hyperlink ref="I114" r:id="rId290" display="#19 Java Annotations with Examples (1h 10m 42s)"/>
    <hyperlink ref="K114" r:id="rId291" display="#170 @override annotation in java (10m 4s)"/>
    <hyperlink ref="I118" r:id="rId292" display="#10 Java Memory Management and Garbage Collection in Depth (48m 48s)"/>
    <hyperlink ref="J118" r:id="rId293" display="#45 Java Memory Management Explained in Depth | Stack, Heap, Method Area &amp; PC (1h 4m 10s)"/>
    <hyperlink ref="I119" r:id="rId294" display="#10 Java Memory Management and Garbage Collection in Depth (48m 48s)"/>
    <hyperlink ref="J119" r:id="rId295" display="#46 Java Heap Memory Deep Dive | Garbage Collection Algorithms Explained (1h 2m 53s)"/>
    <hyperlink ref="G122" r:id="rId296" display="#2 What is JDK, JVM, JRE, javac, Byte code, JIT ? Complete Execution Process ! (12m 23s)"/>
    <hyperlink ref="G123" r:id="rId297" display="#2 What is JDK, JVM, JRE, javac, Byte code, JIT ? Complete Execution Process ! (12m 23s)"/>
    <hyperlink ref="I127" r:id="rId298" display="#47 Java 15: Text Blocks (18m 32s)"/>
    <hyperlink ref="I128" r:id="rId299" display="#43 Java 14: Switch Expressions Deep Dive (23m 6s)"/>
    <hyperlink ref="I129" r:id="rId300" display="#44 Java 16: Pattern Matching for instanceof (8m 49s)&#10;#45 Java 21: Pattern Matching for switch (18m 40s)"/>
    <hyperlink ref="I130" r:id="rId301" display="#41 Java 21 : SequencedCollection, SequencedSet and SequencedMap (38m 20s)"/>
    <hyperlink ref="H131" r:id="rId302" display="#3 Importance of Micro Services &amp; Java Language Release &amp; Version Details (1h 27m)"/>
    <hyperlink ref="H134" r:id="rId303" display="#66 Mastering Java Applications Debugging | Step-by-Step Guide (1h 29m 41s)"/>
    <hyperlink ref="H138" r:id="rId304" display="#20 API Documentation &amp; Eclipse IDE Setup (1h 29m 34s)"/>
    <hyperlink ref="I140" r:id="rId305" display="#40 Project Lombok in Java in depth | Lombok top 10 features (27m 37s)"/>
    <hyperlink ref="H144" r:id="rId306" display="#73 Exception Handling | try catch finally blocks (1h 35m 10s)&#10;#93 Stream API in JAVA | All Stream API Methods &amp; Operations (2h 40m 23s)"/>
    <hyperlink ref="K144" r:id="rId307" display="▶ 5 videos: #46–47, #84, #169, #224  (~1.8 h)&#10;Starts with: Part-1 Java Basic MCQs | Java MCQ's Questions and Answers (Hindi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0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612</v>
      </c>
    </row>
    <row r="3" customFormat="false" ht="15" hidden="false" customHeight="false" outlineLevel="0" collapsed="false">
      <c r="A3" s="17" t="s">
        <v>613</v>
      </c>
    </row>
    <row r="4" customFormat="false" ht="31.5" hidden="false" customHeight="true" outlineLevel="0" collapsed="false">
      <c r="A4" s="3" t="s">
        <v>614</v>
      </c>
      <c r="B4" s="3" t="s">
        <v>615</v>
      </c>
      <c r="C4" s="3" t="s">
        <v>616</v>
      </c>
      <c r="D4" s="3" t="s">
        <v>617</v>
      </c>
      <c r="E4" s="3" t="s">
        <v>618</v>
      </c>
      <c r="F4" s="3" t="s">
        <v>619</v>
      </c>
      <c r="G4" s="3" t="s">
        <v>620</v>
      </c>
    </row>
    <row r="5" customFormat="false" ht="15" hidden="false" customHeight="false" outlineLevel="0" collapsed="false">
      <c r="A5" s="18" t="s">
        <v>621</v>
      </c>
      <c r="B5" s="19" t="s">
        <v>622</v>
      </c>
      <c r="C5" s="19" t="s">
        <v>623</v>
      </c>
      <c r="D5" s="20" t="n">
        <f aca="false">COUNTIF('Playlist Index'!$A$2:$A$473,A5)</f>
        <v>37</v>
      </c>
      <c r="E5" s="21" t="n">
        <f aca="false">SUMIF('Playlist Index'!$A$2:$A$473,A5,'Playlist Index'!$F$2:$F$473)/60</f>
        <v>25.015</v>
      </c>
      <c r="F5" s="20" t="n">
        <f aca="false">COUNTA(Roadmap!G4:G144)</f>
        <v>53</v>
      </c>
      <c r="G5" s="22" t="n">
        <f aca="false">F5/COUNTA(Roadmap!$C$4:$C$144)</f>
        <v>0.375886524822695</v>
      </c>
    </row>
    <row r="6" customFormat="false" ht="15" hidden="false" customHeight="false" outlineLevel="0" collapsed="false">
      <c r="A6" s="18" t="s">
        <v>624</v>
      </c>
      <c r="B6" s="19" t="s">
        <v>625</v>
      </c>
      <c r="C6" s="19" t="s">
        <v>626</v>
      </c>
      <c r="D6" s="20" t="n">
        <f aca="false">COUNTIF('Playlist Index'!$A$2:$A$473,A6)</f>
        <v>102</v>
      </c>
      <c r="E6" s="21" t="n">
        <f aca="false">SUMIF('Playlist Index'!$A$2:$A$473,A6,'Playlist Index'!$F$2:$F$473)/60</f>
        <v>149.468333333333</v>
      </c>
      <c r="F6" s="20" t="n">
        <f aca="false">COUNTA(Roadmap!H4:H144)</f>
        <v>58</v>
      </c>
      <c r="G6" s="22" t="n">
        <f aca="false">F6/COUNTA(Roadmap!$C$4:$C$144)</f>
        <v>0.411347517730496</v>
      </c>
    </row>
    <row r="7" customFormat="false" ht="15" hidden="false" customHeight="false" outlineLevel="0" collapsed="false">
      <c r="A7" s="18" t="s">
        <v>627</v>
      </c>
      <c r="B7" s="19" t="s">
        <v>628</v>
      </c>
      <c r="C7" s="19" t="s">
        <v>629</v>
      </c>
      <c r="D7" s="20" t="n">
        <f aca="false">COUNTIF('Playlist Index'!$A$2:$A$473,A7)</f>
        <v>52</v>
      </c>
      <c r="E7" s="21" t="n">
        <f aca="false">SUMIF('Playlist Index'!$A$2:$A$473,A7,'Playlist Index'!$F$2:$F$473)/60</f>
        <v>38.1216666666667</v>
      </c>
      <c r="F7" s="20" t="n">
        <f aca="false">COUNTA(Roadmap!I4:I144)</f>
        <v>58</v>
      </c>
      <c r="G7" s="22" t="n">
        <f aca="false">F7/COUNTA(Roadmap!$C$4:$C$144)</f>
        <v>0.411347517730496</v>
      </c>
    </row>
    <row r="8" customFormat="false" ht="15" hidden="false" customHeight="false" outlineLevel="0" collapsed="false">
      <c r="A8" s="18" t="s">
        <v>630</v>
      </c>
      <c r="B8" s="19" t="s">
        <v>631</v>
      </c>
      <c r="C8" s="19" t="s">
        <v>632</v>
      </c>
      <c r="D8" s="20" t="n">
        <f aca="false">COUNTIF('Playlist Index'!$A$2:$A$473,A8)</f>
        <v>57</v>
      </c>
      <c r="E8" s="21" t="n">
        <f aca="false">SUMIF('Playlist Index'!$A$2:$A$473,A8,'Playlist Index'!$F$2:$F$473)/60</f>
        <v>62.775</v>
      </c>
      <c r="F8" s="20" t="n">
        <f aca="false">COUNTA(Roadmap!J4:J144)</f>
        <v>83</v>
      </c>
      <c r="G8" s="22" t="n">
        <f aca="false">F8/COUNTA(Roadmap!$C$4:$C$144)</f>
        <v>0.588652482269504</v>
      </c>
    </row>
    <row r="9" customFormat="false" ht="15" hidden="false" customHeight="false" outlineLevel="0" collapsed="false">
      <c r="A9" s="18" t="s">
        <v>633</v>
      </c>
      <c r="B9" s="19" t="s">
        <v>634</v>
      </c>
      <c r="C9" s="19" t="s">
        <v>635</v>
      </c>
      <c r="D9" s="20" t="n">
        <f aca="false">COUNTIF('Playlist Index'!$A$2:$A$473,A9)</f>
        <v>224</v>
      </c>
      <c r="E9" s="21" t="n">
        <f aca="false">SUMIF('Playlist Index'!$A$2:$A$473,A9,'Playlist Index'!$F$2:$F$473)/60</f>
        <v>37.6483333333333</v>
      </c>
      <c r="F9" s="20" t="n">
        <f aca="false">COUNTA(Roadmap!K4:K144)</f>
        <v>50</v>
      </c>
      <c r="G9" s="22" t="n">
        <f aca="false">F9/COUNTA(Roadmap!$C$4:$C$144)</f>
        <v>0.354609929078014</v>
      </c>
    </row>
    <row r="10" customFormat="false" ht="15" hidden="false" customHeight="false" outlineLevel="0" collapsed="false">
      <c r="A10" s="18" t="s">
        <v>636</v>
      </c>
      <c r="B10" s="20"/>
      <c r="C10" s="20"/>
      <c r="D10" s="18" t="n">
        <f aca="false">SUM(D5:D9)</f>
        <v>472</v>
      </c>
      <c r="E10" s="23" t="n">
        <f aca="false">SUM(E5:E9)</f>
        <v>313.028333333333</v>
      </c>
      <c r="F10" s="18" t="n">
        <f aca="false">COUNTA(Roadmap!$C$4:$C$144)</f>
        <v>141</v>
      </c>
      <c r="G10" s="20"/>
    </row>
    <row r="11" customFormat="false" ht="15" hidden="false" customHeight="false" outlineLevel="0" collapsed="false">
      <c r="F11" s="24" t="s">
        <v>637</v>
      </c>
    </row>
    <row r="13" customFormat="false" ht="15" hidden="false" customHeight="false" outlineLevel="0" collapsed="false">
      <c r="A13" s="17" t="s">
        <v>638</v>
      </c>
    </row>
    <row r="14" customFormat="false" ht="15" hidden="false" customHeight="false" outlineLevel="0" collapsed="false">
      <c r="A14" s="3"/>
      <c r="B14" s="3" t="s">
        <v>639</v>
      </c>
      <c r="C14" s="3"/>
      <c r="D14" s="3" t="s">
        <v>640</v>
      </c>
      <c r="E14" s="3" t="s">
        <v>641</v>
      </c>
    </row>
    <row r="15" customFormat="false" ht="15" hidden="false" customHeight="false" outlineLevel="0" collapsed="false">
      <c r="A15" s="20"/>
      <c r="B15" s="19" t="s">
        <v>23</v>
      </c>
      <c r="C15" s="20"/>
      <c r="D15" s="20" t="n">
        <f aca="false">COUNTIF(Roadmap!$M$4:$M$144,"Not started")</f>
        <v>141</v>
      </c>
      <c r="E15" s="22" t="n">
        <f aca="false">D15/$F$10</f>
        <v>1</v>
      </c>
    </row>
    <row r="16" customFormat="false" ht="15" hidden="false" customHeight="false" outlineLevel="0" collapsed="false">
      <c r="A16" s="20"/>
      <c r="B16" s="19" t="s">
        <v>642</v>
      </c>
      <c r="C16" s="20"/>
      <c r="D16" s="20" t="n">
        <f aca="false">COUNTIF(Roadmap!$M$4:$M$144,"In progress")</f>
        <v>0</v>
      </c>
      <c r="E16" s="22" t="n">
        <f aca="false">D16/$F$10</f>
        <v>0</v>
      </c>
    </row>
    <row r="17" customFormat="false" ht="15" hidden="false" customHeight="false" outlineLevel="0" collapsed="false">
      <c r="A17" s="20"/>
      <c r="B17" s="19" t="s">
        <v>643</v>
      </c>
      <c r="C17" s="20"/>
      <c r="D17" s="20" t="n">
        <f aca="false">COUNTIF(Roadmap!$M$4:$M$144,"Done")</f>
        <v>0</v>
      </c>
      <c r="E17" s="22" t="n">
        <f aca="false">D17/$F$10</f>
        <v>0</v>
      </c>
    </row>
    <row r="18" customFormat="false" ht="15" hidden="false" customHeight="false" outlineLevel="0" collapsed="false">
      <c r="A18" s="20"/>
      <c r="B18" s="19" t="s">
        <v>644</v>
      </c>
      <c r="C18" s="20"/>
      <c r="D18" s="20" t="n">
        <f aca="false">COUNTIFS(Roadmap!$E$4:$E$144,"★ Critical",Roadmap!$M$4:$M$144,"Done")</f>
        <v>0</v>
      </c>
      <c r="E18" s="22" t="n">
        <f aca="false">D18/D19</f>
        <v>0</v>
      </c>
    </row>
    <row r="19" customFormat="false" ht="15" hidden="false" customHeight="false" outlineLevel="0" collapsed="false">
      <c r="A19" s="20"/>
      <c r="B19" s="19" t="s">
        <v>645</v>
      </c>
      <c r="C19" s="20"/>
      <c r="D19" s="20" t="n">
        <f aca="false">COUNTIF(Roadmap!$E$4:$E$144,"★ Critical")</f>
        <v>36</v>
      </c>
      <c r="E19" s="20"/>
    </row>
    <row r="21" customFormat="false" ht="15" hidden="false" customHeight="false" outlineLevel="0" collapsed="false">
      <c r="A21" s="17" t="s">
        <v>646</v>
      </c>
    </row>
    <row r="22" customFormat="false" ht="15" hidden="false" customHeight="false" outlineLevel="0" collapsed="false">
      <c r="A22" s="3"/>
      <c r="B22" s="3" t="s">
        <v>639</v>
      </c>
      <c r="C22" s="3"/>
      <c r="D22" s="3" t="s">
        <v>640</v>
      </c>
    </row>
    <row r="23" customFormat="false" ht="15" hidden="false" customHeight="false" outlineLevel="0" collapsed="false">
      <c r="A23" s="20"/>
      <c r="B23" s="19" t="s">
        <v>647</v>
      </c>
      <c r="C23" s="20"/>
      <c r="D23" s="20" t="n">
        <f aca="false">COUNTIF(Roadmap!$F$4:$F$144,0)</f>
        <v>33</v>
      </c>
    </row>
    <row r="24" customFormat="false" ht="15" hidden="false" customHeight="false" outlineLevel="0" collapsed="false">
      <c r="A24" s="20"/>
      <c r="B24" s="19" t="s">
        <v>648</v>
      </c>
      <c r="C24" s="20"/>
      <c r="D24" s="20" t="n">
        <f aca="false">COUNTIFS(Roadmap!$F$4:$F$144,0,Roadmap!$E$4:$E$144,"★ Critical")</f>
        <v>2</v>
      </c>
    </row>
    <row r="25" customFormat="false" ht="15" hidden="false" customHeight="false" outlineLevel="0" collapsed="false">
      <c r="A25" s="20"/>
      <c r="B25" s="19" t="s">
        <v>649</v>
      </c>
      <c r="C25" s="20"/>
      <c r="D25" s="20" t="n">
        <f aca="false">COUNTIF(Roadmap!$F$4:$F$144,1)</f>
        <v>26</v>
      </c>
    </row>
    <row r="26" customFormat="false" ht="15" hidden="false" customHeight="false" outlineLevel="0" collapsed="false">
      <c r="A26" s="20"/>
      <c r="B26" s="19" t="s">
        <v>650</v>
      </c>
      <c r="C26" s="20"/>
      <c r="D26" s="20" t="n">
        <f aca="false">COUNTIF(Roadmap!$F$4:$F$144,"&gt;=3")</f>
        <v>62</v>
      </c>
    </row>
    <row r="28" customFormat="false" ht="15" hidden="false" customHeight="false" outlineLevel="0" collapsed="false">
      <c r="A28" s="17" t="s">
        <v>651</v>
      </c>
    </row>
    <row r="29" customFormat="false" ht="31.5" hidden="false" customHeight="true" outlineLevel="0" collapsed="false">
      <c r="A29" s="25" t="s">
        <v>652</v>
      </c>
      <c r="B29" s="25"/>
      <c r="C29" s="25"/>
      <c r="D29" s="25"/>
      <c r="E29" s="25"/>
      <c r="F29" s="25"/>
      <c r="G29" s="25"/>
    </row>
    <row r="30" customFormat="false" ht="31.5" hidden="false" customHeight="true" outlineLevel="0" collapsed="false">
      <c r="A30" s="25" t="s">
        <v>653</v>
      </c>
      <c r="B30" s="25"/>
      <c r="C30" s="25"/>
      <c r="D30" s="25"/>
      <c r="E30" s="25"/>
      <c r="F30" s="25"/>
      <c r="G30" s="25"/>
    </row>
    <row r="31" customFormat="false" ht="31.5" hidden="false" customHeight="true" outlineLevel="0" collapsed="false">
      <c r="A31" s="25" t="s">
        <v>654</v>
      </c>
      <c r="B31" s="25"/>
      <c r="C31" s="25"/>
      <c r="D31" s="25"/>
      <c r="E31" s="25"/>
      <c r="F31" s="25"/>
      <c r="G31" s="25"/>
    </row>
  </sheetData>
  <mergeCells count="3"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614</v>
      </c>
      <c r="B1" s="3" t="s">
        <v>615</v>
      </c>
      <c r="C1" s="3" t="s">
        <v>2</v>
      </c>
      <c r="D1" s="3" t="s">
        <v>655</v>
      </c>
      <c r="E1" s="3" t="s">
        <v>656</v>
      </c>
      <c r="F1" s="3" t="s">
        <v>657</v>
      </c>
      <c r="G1" s="3" t="s">
        <v>658</v>
      </c>
      <c r="H1" s="3" t="s">
        <v>659</v>
      </c>
    </row>
    <row r="2" customFormat="false" ht="16.5" hidden="false" customHeight="true" outlineLevel="0" collapsed="false">
      <c r="A2" s="26" t="s">
        <v>621</v>
      </c>
      <c r="B2" s="27" t="s">
        <v>660</v>
      </c>
      <c r="C2" s="26" t="n">
        <v>1</v>
      </c>
      <c r="D2" s="9" t="s">
        <v>661</v>
      </c>
      <c r="E2" s="26" t="s">
        <v>662</v>
      </c>
      <c r="F2" s="26" t="n">
        <v>11.8</v>
      </c>
      <c r="G2" s="26" t="s">
        <v>663</v>
      </c>
      <c r="H2" s="6" t="s">
        <v>30</v>
      </c>
    </row>
    <row r="3" customFormat="false" ht="30" hidden="false" customHeight="true" outlineLevel="0" collapsed="false">
      <c r="A3" s="26" t="s">
        <v>621</v>
      </c>
      <c r="B3" s="27" t="s">
        <v>660</v>
      </c>
      <c r="C3" s="26" t="n">
        <v>2</v>
      </c>
      <c r="D3" s="9" t="s">
        <v>664</v>
      </c>
      <c r="E3" s="26" t="s">
        <v>665</v>
      </c>
      <c r="F3" s="26" t="n">
        <v>12.4</v>
      </c>
      <c r="G3" s="26" t="s">
        <v>666</v>
      </c>
      <c r="H3" s="6" t="s">
        <v>667</v>
      </c>
    </row>
    <row r="4" customFormat="false" ht="30" hidden="false" customHeight="true" outlineLevel="0" collapsed="false">
      <c r="A4" s="26" t="s">
        <v>621</v>
      </c>
      <c r="B4" s="27" t="s">
        <v>660</v>
      </c>
      <c r="C4" s="26" t="n">
        <v>3</v>
      </c>
      <c r="D4" s="9" t="s">
        <v>668</v>
      </c>
      <c r="E4" s="26" t="s">
        <v>669</v>
      </c>
      <c r="F4" s="26" t="n">
        <v>4.9</v>
      </c>
      <c r="G4" s="26" t="s">
        <v>663</v>
      </c>
      <c r="H4" s="6" t="s">
        <v>30</v>
      </c>
    </row>
    <row r="5" customFormat="false" ht="30" hidden="false" customHeight="true" outlineLevel="0" collapsed="false">
      <c r="A5" s="26" t="s">
        <v>621</v>
      </c>
      <c r="B5" s="27" t="s">
        <v>660</v>
      </c>
      <c r="C5" s="26" t="n">
        <v>4</v>
      </c>
      <c r="D5" s="9" t="s">
        <v>670</v>
      </c>
      <c r="E5" s="26" t="s">
        <v>671</v>
      </c>
      <c r="F5" s="26" t="n">
        <v>10</v>
      </c>
      <c r="G5" s="26" t="s">
        <v>672</v>
      </c>
      <c r="H5" s="6" t="s">
        <v>43</v>
      </c>
    </row>
    <row r="6" customFormat="false" ht="30" hidden="false" customHeight="true" outlineLevel="0" collapsed="false">
      <c r="A6" s="26" t="s">
        <v>621</v>
      </c>
      <c r="B6" s="27" t="s">
        <v>660</v>
      </c>
      <c r="C6" s="26" t="n">
        <v>5</v>
      </c>
      <c r="D6" s="9" t="s">
        <v>673</v>
      </c>
      <c r="E6" s="26" t="s">
        <v>674</v>
      </c>
      <c r="F6" s="26" t="n">
        <v>57.1</v>
      </c>
      <c r="G6" s="26" t="s">
        <v>675</v>
      </c>
      <c r="H6" s="6" t="s">
        <v>50</v>
      </c>
    </row>
    <row r="7" customFormat="false" ht="16.5" hidden="false" customHeight="true" outlineLevel="0" collapsed="false">
      <c r="A7" s="26" t="s">
        <v>621</v>
      </c>
      <c r="B7" s="27" t="s">
        <v>660</v>
      </c>
      <c r="C7" s="26" t="n">
        <v>6</v>
      </c>
      <c r="D7" s="9" t="s">
        <v>676</v>
      </c>
      <c r="E7" s="26" t="s">
        <v>677</v>
      </c>
      <c r="F7" s="26" t="n">
        <v>8.2</v>
      </c>
      <c r="G7" s="26" t="s">
        <v>678</v>
      </c>
      <c r="H7" s="6" t="s">
        <v>61</v>
      </c>
    </row>
    <row r="8" customFormat="false" ht="30" hidden="false" customHeight="true" outlineLevel="0" collapsed="false">
      <c r="A8" s="26" t="s">
        <v>621</v>
      </c>
      <c r="B8" s="27" t="s">
        <v>660</v>
      </c>
      <c r="C8" s="26" t="n">
        <v>7</v>
      </c>
      <c r="D8" s="9" t="s">
        <v>679</v>
      </c>
      <c r="E8" s="26" t="s">
        <v>680</v>
      </c>
      <c r="F8" s="26" t="n">
        <v>31.3</v>
      </c>
      <c r="G8" s="26" t="s">
        <v>681</v>
      </c>
      <c r="H8" s="6" t="s">
        <v>71</v>
      </c>
    </row>
    <row r="9" customFormat="false" ht="30" hidden="false" customHeight="true" outlineLevel="0" collapsed="false">
      <c r="A9" s="26" t="s">
        <v>621</v>
      </c>
      <c r="B9" s="27" t="s">
        <v>660</v>
      </c>
      <c r="C9" s="26" t="n">
        <v>8</v>
      </c>
      <c r="D9" s="9" t="s">
        <v>682</v>
      </c>
      <c r="E9" s="26" t="s">
        <v>683</v>
      </c>
      <c r="F9" s="26" t="n">
        <v>17.7</v>
      </c>
      <c r="G9" s="26" t="s">
        <v>684</v>
      </c>
      <c r="H9" s="6" t="s">
        <v>78</v>
      </c>
    </row>
    <row r="10" customFormat="false" ht="16.5" hidden="false" customHeight="true" outlineLevel="0" collapsed="false">
      <c r="A10" s="26" t="s">
        <v>621</v>
      </c>
      <c r="B10" s="27" t="s">
        <v>660</v>
      </c>
      <c r="C10" s="26" t="n">
        <v>9</v>
      </c>
      <c r="D10" s="9" t="s">
        <v>685</v>
      </c>
      <c r="E10" s="26" t="s">
        <v>686</v>
      </c>
      <c r="F10" s="26" t="n">
        <v>20.8</v>
      </c>
      <c r="G10" s="26" t="s">
        <v>687</v>
      </c>
      <c r="H10" s="6" t="s">
        <v>82</v>
      </c>
    </row>
    <row r="11" customFormat="false" ht="30" hidden="false" customHeight="true" outlineLevel="0" collapsed="false">
      <c r="A11" s="26" t="s">
        <v>621</v>
      </c>
      <c r="B11" s="27" t="s">
        <v>660</v>
      </c>
      <c r="C11" s="26" t="n">
        <v>10</v>
      </c>
      <c r="D11" s="9" t="s">
        <v>688</v>
      </c>
      <c r="E11" s="26" t="s">
        <v>689</v>
      </c>
      <c r="F11" s="26" t="n">
        <v>18.6</v>
      </c>
      <c r="G11" s="26" t="s">
        <v>690</v>
      </c>
      <c r="H11" s="6" t="s">
        <v>136</v>
      </c>
    </row>
    <row r="12" customFormat="false" ht="16.5" hidden="false" customHeight="true" outlineLevel="0" collapsed="false">
      <c r="A12" s="26" t="s">
        <v>621</v>
      </c>
      <c r="B12" s="27" t="s">
        <v>660</v>
      </c>
      <c r="C12" s="26" t="n">
        <v>11</v>
      </c>
      <c r="D12" s="9" t="s">
        <v>691</v>
      </c>
      <c r="E12" s="26" t="s">
        <v>692</v>
      </c>
      <c r="F12" s="26" t="n">
        <v>26.1</v>
      </c>
      <c r="G12" s="26" t="s">
        <v>693</v>
      </c>
      <c r="H12" s="6" t="s">
        <v>141</v>
      </c>
    </row>
    <row r="13" customFormat="false" ht="30" hidden="false" customHeight="true" outlineLevel="0" collapsed="false">
      <c r="A13" s="26" t="s">
        <v>621</v>
      </c>
      <c r="B13" s="27" t="s">
        <v>660</v>
      </c>
      <c r="C13" s="26" t="n">
        <v>12</v>
      </c>
      <c r="D13" s="9" t="s">
        <v>694</v>
      </c>
      <c r="E13" s="26" t="s">
        <v>695</v>
      </c>
      <c r="F13" s="26" t="n">
        <v>32.4</v>
      </c>
      <c r="G13" s="26" t="s">
        <v>696</v>
      </c>
      <c r="H13" s="6" t="s">
        <v>88</v>
      </c>
    </row>
    <row r="14" customFormat="false" ht="16.5" hidden="false" customHeight="true" outlineLevel="0" collapsed="false">
      <c r="A14" s="26" t="s">
        <v>621</v>
      </c>
      <c r="B14" s="27" t="s">
        <v>660</v>
      </c>
      <c r="C14" s="26" t="n">
        <v>13</v>
      </c>
      <c r="D14" s="9" t="s">
        <v>697</v>
      </c>
      <c r="E14" s="26" t="s">
        <v>698</v>
      </c>
      <c r="F14" s="26" t="n">
        <v>30.9</v>
      </c>
      <c r="G14" s="26" t="s">
        <v>699</v>
      </c>
      <c r="H14" s="6" t="s">
        <v>95</v>
      </c>
    </row>
    <row r="15" customFormat="false" ht="16.5" hidden="false" customHeight="true" outlineLevel="0" collapsed="false">
      <c r="A15" s="26" t="s">
        <v>621</v>
      </c>
      <c r="B15" s="27" t="s">
        <v>660</v>
      </c>
      <c r="C15" s="26" t="n">
        <v>14</v>
      </c>
      <c r="D15" s="9" t="s">
        <v>700</v>
      </c>
      <c r="E15" s="26" t="s">
        <v>701</v>
      </c>
      <c r="F15" s="26" t="n">
        <v>34.7</v>
      </c>
      <c r="G15" s="26" t="s">
        <v>702</v>
      </c>
      <c r="H15" s="6" t="s">
        <v>101</v>
      </c>
    </row>
    <row r="16" customFormat="false" ht="30" hidden="false" customHeight="true" outlineLevel="0" collapsed="false">
      <c r="A16" s="26" t="s">
        <v>621</v>
      </c>
      <c r="B16" s="27" t="s">
        <v>660</v>
      </c>
      <c r="C16" s="26" t="n">
        <v>15</v>
      </c>
      <c r="D16" s="9" t="s">
        <v>703</v>
      </c>
      <c r="E16" s="26" t="s">
        <v>704</v>
      </c>
      <c r="F16" s="26" t="n">
        <v>22.8</v>
      </c>
      <c r="G16" s="26" t="s">
        <v>705</v>
      </c>
      <c r="H16" s="6" t="s">
        <v>155</v>
      </c>
    </row>
    <row r="17" customFormat="false" ht="16.5" hidden="false" customHeight="true" outlineLevel="0" collapsed="false">
      <c r="A17" s="26" t="s">
        <v>621</v>
      </c>
      <c r="B17" s="27" t="s">
        <v>660</v>
      </c>
      <c r="C17" s="26" t="n">
        <v>16</v>
      </c>
      <c r="D17" s="9" t="s">
        <v>706</v>
      </c>
      <c r="E17" s="26" t="s">
        <v>707</v>
      </c>
      <c r="F17" s="26" t="n">
        <v>29.6</v>
      </c>
      <c r="G17" s="26" t="s">
        <v>708</v>
      </c>
      <c r="H17" s="6" t="s">
        <v>709</v>
      </c>
    </row>
    <row r="18" customFormat="false" ht="16.5" hidden="false" customHeight="true" outlineLevel="0" collapsed="false">
      <c r="A18" s="26" t="s">
        <v>621</v>
      </c>
      <c r="B18" s="27" t="s">
        <v>660</v>
      </c>
      <c r="C18" s="26" t="n">
        <v>17</v>
      </c>
      <c r="D18" s="9" t="s">
        <v>710</v>
      </c>
      <c r="E18" s="26" t="s">
        <v>711</v>
      </c>
      <c r="F18" s="26" t="n">
        <v>13.4</v>
      </c>
      <c r="G18" s="26" t="s">
        <v>712</v>
      </c>
      <c r="H18" s="6" t="s">
        <v>125</v>
      </c>
    </row>
    <row r="19" customFormat="false" ht="16.5" hidden="false" customHeight="true" outlineLevel="0" collapsed="false">
      <c r="A19" s="26" t="s">
        <v>621</v>
      </c>
      <c r="B19" s="27" t="s">
        <v>660</v>
      </c>
      <c r="C19" s="26" t="n">
        <v>18</v>
      </c>
      <c r="D19" s="9" t="s">
        <v>713</v>
      </c>
      <c r="E19" s="26" t="s">
        <v>714</v>
      </c>
      <c r="F19" s="26" t="n">
        <v>16.4</v>
      </c>
      <c r="G19" s="26" t="s">
        <v>715</v>
      </c>
      <c r="H19" s="6" t="s">
        <v>228</v>
      </c>
    </row>
    <row r="20" customFormat="false" ht="16.5" hidden="false" customHeight="true" outlineLevel="0" collapsed="false">
      <c r="A20" s="26" t="s">
        <v>621</v>
      </c>
      <c r="B20" s="27" t="s">
        <v>660</v>
      </c>
      <c r="C20" s="26" t="n">
        <v>19</v>
      </c>
      <c r="D20" s="9" t="s">
        <v>716</v>
      </c>
      <c r="E20" s="26" t="s">
        <v>717</v>
      </c>
      <c r="F20" s="26" t="n">
        <v>16.8</v>
      </c>
      <c r="G20" s="26" t="s">
        <v>718</v>
      </c>
      <c r="H20" s="6" t="s">
        <v>182</v>
      </c>
    </row>
    <row r="21" customFormat="false" ht="16.5" hidden="false" customHeight="true" outlineLevel="0" collapsed="false">
      <c r="A21" s="26" t="s">
        <v>621</v>
      </c>
      <c r="B21" s="27" t="s">
        <v>660</v>
      </c>
      <c r="C21" s="26" t="n">
        <v>20</v>
      </c>
      <c r="D21" s="9" t="s">
        <v>719</v>
      </c>
      <c r="E21" s="26" t="s">
        <v>720</v>
      </c>
      <c r="F21" s="26" t="n">
        <v>8</v>
      </c>
      <c r="G21" s="26" t="s">
        <v>721</v>
      </c>
      <c r="H21" s="6" t="s">
        <v>166</v>
      </c>
    </row>
    <row r="22" customFormat="false" ht="16.5" hidden="false" customHeight="true" outlineLevel="0" collapsed="false">
      <c r="A22" s="26" t="s">
        <v>621</v>
      </c>
      <c r="B22" s="27" t="s">
        <v>660</v>
      </c>
      <c r="C22" s="26" t="n">
        <v>21</v>
      </c>
      <c r="D22" s="9" t="s">
        <v>722</v>
      </c>
      <c r="E22" s="26" t="s">
        <v>723</v>
      </c>
      <c r="F22" s="26" t="n">
        <v>34.6</v>
      </c>
      <c r="G22" s="26" t="s">
        <v>724</v>
      </c>
      <c r="H22" s="6" t="s">
        <v>192</v>
      </c>
    </row>
    <row r="23" customFormat="false" ht="16.5" hidden="false" customHeight="true" outlineLevel="0" collapsed="false">
      <c r="A23" s="26" t="s">
        <v>621</v>
      </c>
      <c r="B23" s="27" t="s">
        <v>660</v>
      </c>
      <c r="C23" s="26" t="n">
        <v>22</v>
      </c>
      <c r="D23" s="9" t="s">
        <v>725</v>
      </c>
      <c r="E23" s="26" t="s">
        <v>726</v>
      </c>
      <c r="F23" s="26" t="n">
        <v>14.8</v>
      </c>
      <c r="G23" s="26" t="s">
        <v>727</v>
      </c>
      <c r="H23" s="6" t="s">
        <v>728</v>
      </c>
    </row>
    <row r="24" customFormat="false" ht="16.5" hidden="false" customHeight="true" outlineLevel="0" collapsed="false">
      <c r="A24" s="26" t="s">
        <v>621</v>
      </c>
      <c r="B24" s="27" t="s">
        <v>660</v>
      </c>
      <c r="C24" s="26" t="n">
        <v>23</v>
      </c>
      <c r="D24" s="9" t="s">
        <v>729</v>
      </c>
      <c r="E24" s="26" t="s">
        <v>730</v>
      </c>
      <c r="F24" s="26" t="n">
        <v>19.6</v>
      </c>
      <c r="G24" s="26" t="s">
        <v>731</v>
      </c>
      <c r="H24" s="6" t="s">
        <v>211</v>
      </c>
    </row>
    <row r="25" customFormat="false" ht="16.5" hidden="false" customHeight="true" outlineLevel="0" collapsed="false">
      <c r="A25" s="26" t="s">
        <v>621</v>
      </c>
      <c r="B25" s="27" t="s">
        <v>660</v>
      </c>
      <c r="C25" s="26" t="n">
        <v>24</v>
      </c>
      <c r="D25" s="9" t="s">
        <v>732</v>
      </c>
      <c r="E25" s="26" t="s">
        <v>733</v>
      </c>
      <c r="F25" s="26" t="n">
        <v>25.2</v>
      </c>
      <c r="G25" s="26" t="s">
        <v>734</v>
      </c>
      <c r="H25" s="6" t="s">
        <v>188</v>
      </c>
    </row>
    <row r="26" customFormat="false" ht="16.5" hidden="false" customHeight="true" outlineLevel="0" collapsed="false">
      <c r="A26" s="26" t="s">
        <v>621</v>
      </c>
      <c r="B26" s="27" t="s">
        <v>660</v>
      </c>
      <c r="C26" s="26" t="n">
        <v>25</v>
      </c>
      <c r="D26" s="9" t="s">
        <v>735</v>
      </c>
      <c r="E26" s="26" t="s">
        <v>736</v>
      </c>
      <c r="F26" s="26" t="n">
        <v>18.8</v>
      </c>
      <c r="G26" s="26" t="s">
        <v>737</v>
      </c>
      <c r="H26" s="6" t="s">
        <v>233</v>
      </c>
    </row>
    <row r="27" customFormat="false" ht="16.5" hidden="false" customHeight="true" outlineLevel="0" collapsed="false">
      <c r="A27" s="26" t="s">
        <v>621</v>
      </c>
      <c r="B27" s="27" t="s">
        <v>660</v>
      </c>
      <c r="C27" s="26" t="n">
        <v>26</v>
      </c>
      <c r="D27" s="9" t="s">
        <v>738</v>
      </c>
      <c r="E27" s="26" t="s">
        <v>739</v>
      </c>
      <c r="F27" s="26" t="n">
        <v>10.6</v>
      </c>
      <c r="G27" s="26" t="s">
        <v>740</v>
      </c>
      <c r="H27" s="6" t="s">
        <v>238</v>
      </c>
    </row>
    <row r="28" customFormat="false" ht="30" hidden="false" customHeight="true" outlineLevel="0" collapsed="false">
      <c r="A28" s="26" t="s">
        <v>621</v>
      </c>
      <c r="B28" s="27" t="s">
        <v>660</v>
      </c>
      <c r="C28" s="26" t="n">
        <v>27</v>
      </c>
      <c r="D28" s="9" t="s">
        <v>741</v>
      </c>
      <c r="E28" s="26" t="s">
        <v>742</v>
      </c>
      <c r="F28" s="26" t="n">
        <v>26.1</v>
      </c>
      <c r="G28" s="26" t="s">
        <v>743</v>
      </c>
      <c r="H28" s="6" t="s">
        <v>217</v>
      </c>
    </row>
    <row r="29" customFormat="false" ht="30" hidden="false" customHeight="true" outlineLevel="0" collapsed="false">
      <c r="A29" s="26" t="s">
        <v>621</v>
      </c>
      <c r="B29" s="27" t="s">
        <v>660</v>
      </c>
      <c r="C29" s="26" t="n">
        <v>28</v>
      </c>
      <c r="D29" s="9" t="s">
        <v>744</v>
      </c>
      <c r="E29" s="26" t="s">
        <v>745</v>
      </c>
      <c r="F29" s="26" t="n">
        <v>35.4</v>
      </c>
      <c r="G29" s="26" t="s">
        <v>746</v>
      </c>
      <c r="H29" s="6" t="s">
        <v>246</v>
      </c>
    </row>
    <row r="30" customFormat="false" ht="30" hidden="false" customHeight="true" outlineLevel="0" collapsed="false">
      <c r="A30" s="26" t="s">
        <v>621</v>
      </c>
      <c r="B30" s="27" t="s">
        <v>660</v>
      </c>
      <c r="C30" s="26" t="n">
        <v>29</v>
      </c>
      <c r="D30" s="9" t="s">
        <v>747</v>
      </c>
      <c r="E30" s="26" t="s">
        <v>748</v>
      </c>
      <c r="F30" s="26" t="n">
        <v>52.4</v>
      </c>
      <c r="G30" s="26" t="s">
        <v>749</v>
      </c>
      <c r="H30" s="6" t="s">
        <v>750</v>
      </c>
    </row>
    <row r="31" customFormat="false" ht="30" hidden="false" customHeight="true" outlineLevel="0" collapsed="false">
      <c r="A31" s="26" t="s">
        <v>621</v>
      </c>
      <c r="B31" s="27" t="s">
        <v>660</v>
      </c>
      <c r="C31" s="26" t="n">
        <v>30</v>
      </c>
      <c r="D31" s="9" t="s">
        <v>751</v>
      </c>
      <c r="E31" s="26" t="s">
        <v>752</v>
      </c>
      <c r="F31" s="26" t="n">
        <v>16.3</v>
      </c>
      <c r="G31" s="26" t="s">
        <v>753</v>
      </c>
      <c r="H31" s="6" t="s">
        <v>267</v>
      </c>
    </row>
    <row r="32" customFormat="false" ht="30" hidden="false" customHeight="true" outlineLevel="0" collapsed="false">
      <c r="A32" s="26" t="s">
        <v>621</v>
      </c>
      <c r="B32" s="27" t="s">
        <v>660</v>
      </c>
      <c r="C32" s="26" t="n">
        <v>31</v>
      </c>
      <c r="D32" s="9" t="s">
        <v>754</v>
      </c>
      <c r="E32" s="26" t="s">
        <v>755</v>
      </c>
      <c r="F32" s="26" t="n">
        <v>10.4</v>
      </c>
      <c r="G32" s="26" t="s">
        <v>756</v>
      </c>
      <c r="H32" s="6" t="s">
        <v>282</v>
      </c>
    </row>
    <row r="33" customFormat="false" ht="30" hidden="false" customHeight="true" outlineLevel="0" collapsed="false">
      <c r="A33" s="26" t="s">
        <v>621</v>
      </c>
      <c r="B33" s="27" t="s">
        <v>660</v>
      </c>
      <c r="C33" s="26" t="n">
        <v>32</v>
      </c>
      <c r="D33" s="9" t="s">
        <v>757</v>
      </c>
      <c r="E33" s="26" t="s">
        <v>758</v>
      </c>
      <c r="F33" s="26" t="n">
        <v>24.6</v>
      </c>
      <c r="G33" s="26" t="s">
        <v>759</v>
      </c>
      <c r="H33" s="6" t="s">
        <v>271</v>
      </c>
    </row>
    <row r="34" customFormat="false" ht="43.5" hidden="false" customHeight="true" outlineLevel="0" collapsed="false">
      <c r="A34" s="26" t="s">
        <v>621</v>
      </c>
      <c r="B34" s="27" t="s">
        <v>660</v>
      </c>
      <c r="C34" s="26" t="n">
        <v>33</v>
      </c>
      <c r="D34" s="9" t="s">
        <v>760</v>
      </c>
      <c r="E34" s="26" t="s">
        <v>761</v>
      </c>
      <c r="F34" s="26" t="n">
        <v>235.7</v>
      </c>
      <c r="G34" s="26" t="s">
        <v>762</v>
      </c>
      <c r="H34" s="6" t="s">
        <v>763</v>
      </c>
    </row>
    <row r="35" customFormat="false" ht="16.5" hidden="false" customHeight="true" outlineLevel="0" collapsed="false">
      <c r="A35" s="26" t="s">
        <v>621</v>
      </c>
      <c r="B35" s="27" t="s">
        <v>660</v>
      </c>
      <c r="C35" s="26" t="n">
        <v>34</v>
      </c>
      <c r="D35" s="9" t="s">
        <v>764</v>
      </c>
      <c r="E35" s="26" t="s">
        <v>765</v>
      </c>
      <c r="F35" s="26" t="n">
        <v>11.8</v>
      </c>
      <c r="G35" s="26" t="s">
        <v>766</v>
      </c>
      <c r="H35" s="6" t="s">
        <v>460</v>
      </c>
    </row>
    <row r="36" customFormat="false" ht="30" hidden="false" customHeight="true" outlineLevel="0" collapsed="false">
      <c r="A36" s="26" t="s">
        <v>621</v>
      </c>
      <c r="B36" s="27" t="s">
        <v>660</v>
      </c>
      <c r="C36" s="26" t="n">
        <v>35</v>
      </c>
      <c r="D36" s="9" t="s">
        <v>767</v>
      </c>
      <c r="E36" s="26" t="s">
        <v>768</v>
      </c>
      <c r="F36" s="26" t="n">
        <v>58.2</v>
      </c>
      <c r="G36" s="26" t="s">
        <v>769</v>
      </c>
      <c r="H36" s="6" t="s">
        <v>317</v>
      </c>
    </row>
    <row r="37" customFormat="false" ht="43.5" hidden="false" customHeight="true" outlineLevel="0" collapsed="false">
      <c r="A37" s="26" t="s">
        <v>621</v>
      </c>
      <c r="B37" s="27" t="s">
        <v>660</v>
      </c>
      <c r="C37" s="26" t="n">
        <v>36</v>
      </c>
      <c r="D37" s="9" t="s">
        <v>770</v>
      </c>
      <c r="E37" s="26" t="s">
        <v>771</v>
      </c>
      <c r="F37" s="26" t="n">
        <v>469.3</v>
      </c>
      <c r="G37" s="26" t="s">
        <v>772</v>
      </c>
      <c r="H37" s="6" t="s">
        <v>773</v>
      </c>
    </row>
    <row r="38" customFormat="false" ht="30" hidden="false" customHeight="true" outlineLevel="0" collapsed="false">
      <c r="A38" s="26" t="s">
        <v>621</v>
      </c>
      <c r="B38" s="27" t="s">
        <v>660</v>
      </c>
      <c r="C38" s="26" t="n">
        <v>37</v>
      </c>
      <c r="D38" s="9" t="s">
        <v>774</v>
      </c>
      <c r="E38" s="26" t="s">
        <v>775</v>
      </c>
      <c r="F38" s="26" t="n">
        <v>13.2</v>
      </c>
      <c r="G38" s="26" t="s">
        <v>776</v>
      </c>
      <c r="H38" s="6" t="s">
        <v>147</v>
      </c>
    </row>
    <row r="39" customFormat="false" ht="30" hidden="false" customHeight="true" outlineLevel="0" collapsed="false">
      <c r="A39" s="26" t="s">
        <v>624</v>
      </c>
      <c r="B39" s="27" t="s">
        <v>777</v>
      </c>
      <c r="C39" s="26" t="n">
        <v>1</v>
      </c>
      <c r="D39" s="9" t="s">
        <v>778</v>
      </c>
      <c r="E39" s="26" t="s">
        <v>779</v>
      </c>
      <c r="F39" s="26" t="n">
        <v>82.1</v>
      </c>
      <c r="G39" s="26" t="s">
        <v>780</v>
      </c>
      <c r="H39" s="6" t="s">
        <v>16</v>
      </c>
    </row>
    <row r="40" customFormat="false" ht="30" hidden="false" customHeight="true" outlineLevel="0" collapsed="false">
      <c r="A40" s="26" t="s">
        <v>624</v>
      </c>
      <c r="B40" s="27" t="s">
        <v>777</v>
      </c>
      <c r="C40" s="26" t="n">
        <v>2</v>
      </c>
      <c r="D40" s="9" t="s">
        <v>781</v>
      </c>
      <c r="E40" s="26" t="s">
        <v>782</v>
      </c>
      <c r="F40" s="26" t="n">
        <v>81</v>
      </c>
      <c r="G40" s="26" t="s">
        <v>780</v>
      </c>
      <c r="H40" s="6" t="s">
        <v>16</v>
      </c>
    </row>
    <row r="41" customFormat="false" ht="30" hidden="false" customHeight="true" outlineLevel="0" collapsed="false">
      <c r="A41" s="26" t="s">
        <v>624</v>
      </c>
      <c r="B41" s="27" t="s">
        <v>777</v>
      </c>
      <c r="C41" s="26" t="n">
        <v>3</v>
      </c>
      <c r="D41" s="9" t="s">
        <v>783</v>
      </c>
      <c r="E41" s="26" t="s">
        <v>784</v>
      </c>
      <c r="F41" s="26" t="n">
        <v>87</v>
      </c>
      <c r="G41" s="26" t="s">
        <v>785</v>
      </c>
      <c r="H41" s="6" t="s">
        <v>786</v>
      </c>
    </row>
    <row r="42" customFormat="false" ht="30" hidden="false" customHeight="true" outlineLevel="0" collapsed="false">
      <c r="A42" s="26" t="s">
        <v>624</v>
      </c>
      <c r="B42" s="27" t="s">
        <v>777</v>
      </c>
      <c r="C42" s="26" t="n">
        <v>4</v>
      </c>
      <c r="D42" s="9" t="s">
        <v>787</v>
      </c>
      <c r="E42" s="26" t="s">
        <v>788</v>
      </c>
      <c r="F42" s="26" t="n">
        <v>71.1</v>
      </c>
      <c r="G42" s="26" t="s">
        <v>780</v>
      </c>
      <c r="H42" s="6" t="s">
        <v>16</v>
      </c>
    </row>
    <row r="43" customFormat="false" ht="30" hidden="false" customHeight="true" outlineLevel="0" collapsed="false">
      <c r="A43" s="26" t="s">
        <v>624</v>
      </c>
      <c r="B43" s="27" t="s">
        <v>777</v>
      </c>
      <c r="C43" s="26" t="n">
        <v>5</v>
      </c>
      <c r="D43" s="9" t="s">
        <v>789</v>
      </c>
      <c r="E43" s="26" t="s">
        <v>790</v>
      </c>
      <c r="F43" s="26" t="n">
        <v>85.3</v>
      </c>
      <c r="G43" s="26" t="s">
        <v>663</v>
      </c>
      <c r="H43" s="6" t="s">
        <v>30</v>
      </c>
    </row>
    <row r="44" customFormat="false" ht="30" hidden="false" customHeight="true" outlineLevel="0" collapsed="false">
      <c r="A44" s="26" t="s">
        <v>624</v>
      </c>
      <c r="B44" s="27" t="s">
        <v>777</v>
      </c>
      <c r="C44" s="26" t="n">
        <v>6</v>
      </c>
      <c r="D44" s="9" t="s">
        <v>791</v>
      </c>
      <c r="E44" s="26" t="s">
        <v>792</v>
      </c>
      <c r="F44" s="26" t="n">
        <v>88.4</v>
      </c>
      <c r="G44" s="26" t="s">
        <v>793</v>
      </c>
      <c r="H44" s="6" t="s">
        <v>35</v>
      </c>
    </row>
    <row r="45" customFormat="false" ht="30" hidden="false" customHeight="true" outlineLevel="0" collapsed="false">
      <c r="A45" s="26" t="s">
        <v>624</v>
      </c>
      <c r="B45" s="27" t="s">
        <v>777</v>
      </c>
      <c r="C45" s="26" t="n">
        <v>7</v>
      </c>
      <c r="D45" s="9" t="s">
        <v>794</v>
      </c>
      <c r="E45" s="26" t="s">
        <v>795</v>
      </c>
      <c r="F45" s="26" t="n">
        <v>88</v>
      </c>
      <c r="G45" s="26" t="s">
        <v>796</v>
      </c>
      <c r="H45" s="6" t="s">
        <v>797</v>
      </c>
    </row>
    <row r="46" customFormat="false" ht="30" hidden="false" customHeight="true" outlineLevel="0" collapsed="false">
      <c r="A46" s="26" t="s">
        <v>624</v>
      </c>
      <c r="B46" s="27" t="s">
        <v>777</v>
      </c>
      <c r="C46" s="26" t="n">
        <v>8</v>
      </c>
      <c r="D46" s="9" t="s">
        <v>798</v>
      </c>
      <c r="E46" s="26" t="s">
        <v>799</v>
      </c>
      <c r="F46" s="26" t="n">
        <v>87.3</v>
      </c>
      <c r="G46" s="26" t="s">
        <v>800</v>
      </c>
      <c r="H46" s="6" t="s">
        <v>801</v>
      </c>
    </row>
    <row r="47" customFormat="false" ht="30" hidden="false" customHeight="true" outlineLevel="0" collapsed="false">
      <c r="A47" s="26" t="s">
        <v>624</v>
      </c>
      <c r="B47" s="27" t="s">
        <v>777</v>
      </c>
      <c r="C47" s="26" t="n">
        <v>9</v>
      </c>
      <c r="D47" s="9" t="s">
        <v>802</v>
      </c>
      <c r="E47" s="26" t="s">
        <v>803</v>
      </c>
      <c r="F47" s="26" t="n">
        <v>85.1</v>
      </c>
      <c r="G47" s="26" t="s">
        <v>675</v>
      </c>
      <c r="H47" s="6" t="s">
        <v>50</v>
      </c>
    </row>
    <row r="48" customFormat="false" ht="30" hidden="false" customHeight="true" outlineLevel="0" collapsed="false">
      <c r="A48" s="26" t="s">
        <v>624</v>
      </c>
      <c r="B48" s="27" t="s">
        <v>777</v>
      </c>
      <c r="C48" s="26" t="n">
        <v>10</v>
      </c>
      <c r="D48" s="9" t="s">
        <v>804</v>
      </c>
      <c r="E48" s="26" t="s">
        <v>805</v>
      </c>
      <c r="F48" s="26" t="n">
        <v>86.3</v>
      </c>
      <c r="G48" s="26" t="s">
        <v>675</v>
      </c>
      <c r="H48" s="6" t="s">
        <v>50</v>
      </c>
    </row>
    <row r="49" customFormat="false" ht="30" hidden="false" customHeight="true" outlineLevel="0" collapsed="false">
      <c r="A49" s="26" t="s">
        <v>624</v>
      </c>
      <c r="B49" s="27" t="s">
        <v>777</v>
      </c>
      <c r="C49" s="26" t="n">
        <v>11</v>
      </c>
      <c r="D49" s="9" t="s">
        <v>806</v>
      </c>
      <c r="E49" s="26" t="s">
        <v>807</v>
      </c>
      <c r="F49" s="26" t="n">
        <v>88.6</v>
      </c>
      <c r="G49" s="26" t="s">
        <v>675</v>
      </c>
      <c r="H49" s="6" t="s">
        <v>50</v>
      </c>
    </row>
    <row r="50" customFormat="false" ht="30" hidden="false" customHeight="true" outlineLevel="0" collapsed="false">
      <c r="A50" s="26" t="s">
        <v>624</v>
      </c>
      <c r="B50" s="27" t="s">
        <v>777</v>
      </c>
      <c r="C50" s="26" t="n">
        <v>12</v>
      </c>
      <c r="D50" s="9" t="s">
        <v>808</v>
      </c>
      <c r="E50" s="26" t="s">
        <v>809</v>
      </c>
      <c r="F50" s="26" t="n">
        <v>112.4</v>
      </c>
      <c r="G50" s="26" t="s">
        <v>678</v>
      </c>
      <c r="H50" s="6" t="s">
        <v>61</v>
      </c>
    </row>
    <row r="51" customFormat="false" ht="30" hidden="false" customHeight="true" outlineLevel="0" collapsed="false">
      <c r="A51" s="26" t="s">
        <v>624</v>
      </c>
      <c r="B51" s="27" t="s">
        <v>777</v>
      </c>
      <c r="C51" s="26" t="n">
        <v>13</v>
      </c>
      <c r="D51" s="9" t="s">
        <v>810</v>
      </c>
      <c r="E51" s="26" t="s">
        <v>811</v>
      </c>
      <c r="F51" s="26" t="n">
        <v>124.3</v>
      </c>
      <c r="G51" s="26" t="s">
        <v>812</v>
      </c>
      <c r="H51" s="6" t="s">
        <v>813</v>
      </c>
    </row>
    <row r="52" customFormat="false" ht="30" hidden="false" customHeight="true" outlineLevel="0" collapsed="false">
      <c r="A52" s="26" t="s">
        <v>624</v>
      </c>
      <c r="B52" s="27" t="s">
        <v>777</v>
      </c>
      <c r="C52" s="26" t="n">
        <v>14</v>
      </c>
      <c r="D52" s="9" t="s">
        <v>814</v>
      </c>
      <c r="E52" s="26" t="s">
        <v>815</v>
      </c>
      <c r="F52" s="26" t="n">
        <v>84.5</v>
      </c>
      <c r="G52" s="26" t="s">
        <v>812</v>
      </c>
      <c r="H52" s="6" t="s">
        <v>813</v>
      </c>
    </row>
    <row r="53" customFormat="false" ht="30" hidden="false" customHeight="true" outlineLevel="0" collapsed="false">
      <c r="A53" s="26" t="s">
        <v>624</v>
      </c>
      <c r="B53" s="27" t="s">
        <v>777</v>
      </c>
      <c r="C53" s="26" t="n">
        <v>15</v>
      </c>
      <c r="D53" s="9" t="s">
        <v>816</v>
      </c>
      <c r="E53" s="26" t="s">
        <v>817</v>
      </c>
      <c r="F53" s="26" t="n">
        <v>87</v>
      </c>
      <c r="G53" s="26" t="s">
        <v>818</v>
      </c>
      <c r="H53" s="6" t="s">
        <v>118</v>
      </c>
    </row>
    <row r="54" customFormat="false" ht="30" hidden="false" customHeight="true" outlineLevel="0" collapsed="false">
      <c r="A54" s="26" t="s">
        <v>624</v>
      </c>
      <c r="B54" s="27" t="s">
        <v>777</v>
      </c>
      <c r="C54" s="26" t="n">
        <v>16</v>
      </c>
      <c r="D54" s="9" t="s">
        <v>819</v>
      </c>
      <c r="E54" s="26" t="s">
        <v>820</v>
      </c>
      <c r="F54" s="26" t="n">
        <v>93</v>
      </c>
      <c r="G54" s="26" t="s">
        <v>818</v>
      </c>
      <c r="H54" s="6" t="s">
        <v>118</v>
      </c>
    </row>
    <row r="55" customFormat="false" ht="30" hidden="false" customHeight="true" outlineLevel="0" collapsed="false">
      <c r="A55" s="26" t="s">
        <v>624</v>
      </c>
      <c r="B55" s="27" t="s">
        <v>777</v>
      </c>
      <c r="C55" s="26" t="n">
        <v>17</v>
      </c>
      <c r="D55" s="9" t="s">
        <v>821</v>
      </c>
      <c r="E55" s="26" t="s">
        <v>822</v>
      </c>
      <c r="F55" s="26" t="n">
        <v>89.8</v>
      </c>
      <c r="G55" s="26" t="s">
        <v>818</v>
      </c>
      <c r="H55" s="6" t="s">
        <v>118</v>
      </c>
    </row>
    <row r="56" customFormat="false" ht="30" hidden="false" customHeight="true" outlineLevel="0" collapsed="false">
      <c r="A56" s="26" t="s">
        <v>624</v>
      </c>
      <c r="B56" s="27" t="s">
        <v>777</v>
      </c>
      <c r="C56" s="26" t="n">
        <v>18</v>
      </c>
      <c r="D56" s="9" t="s">
        <v>823</v>
      </c>
      <c r="E56" s="26" t="s">
        <v>824</v>
      </c>
      <c r="F56" s="26" t="n">
        <v>93.6</v>
      </c>
      <c r="G56" s="26" t="s">
        <v>818</v>
      </c>
      <c r="H56" s="6" t="s">
        <v>118</v>
      </c>
    </row>
    <row r="57" customFormat="false" ht="30" hidden="false" customHeight="true" outlineLevel="0" collapsed="false">
      <c r="A57" s="26" t="s">
        <v>624</v>
      </c>
      <c r="B57" s="27" t="s">
        <v>777</v>
      </c>
      <c r="C57" s="26" t="n">
        <v>19</v>
      </c>
      <c r="D57" s="9" t="s">
        <v>825</v>
      </c>
      <c r="E57" s="26" t="s">
        <v>826</v>
      </c>
      <c r="F57" s="26" t="n">
        <v>90.7</v>
      </c>
      <c r="G57" s="26" t="s">
        <v>693</v>
      </c>
      <c r="H57" s="6" t="s">
        <v>141</v>
      </c>
    </row>
    <row r="58" customFormat="false" ht="30" hidden="false" customHeight="true" outlineLevel="0" collapsed="false">
      <c r="A58" s="26" t="s">
        <v>624</v>
      </c>
      <c r="B58" s="27" t="s">
        <v>777</v>
      </c>
      <c r="C58" s="26" t="n">
        <v>20</v>
      </c>
      <c r="D58" s="9" t="s">
        <v>827</v>
      </c>
      <c r="E58" s="26" t="s">
        <v>828</v>
      </c>
      <c r="F58" s="26" t="n">
        <v>89.6</v>
      </c>
      <c r="G58" s="26" t="s">
        <v>829</v>
      </c>
      <c r="H58" s="6" t="s">
        <v>830</v>
      </c>
    </row>
    <row r="59" customFormat="false" ht="30" hidden="false" customHeight="true" outlineLevel="0" collapsed="false">
      <c r="A59" s="26" t="s">
        <v>624</v>
      </c>
      <c r="B59" s="27" t="s">
        <v>777</v>
      </c>
      <c r="C59" s="26" t="n">
        <v>21</v>
      </c>
      <c r="D59" s="9" t="s">
        <v>831</v>
      </c>
      <c r="E59" s="26" t="s">
        <v>832</v>
      </c>
      <c r="F59" s="26" t="n">
        <v>92.9</v>
      </c>
      <c r="G59" s="26" t="s">
        <v>715</v>
      </c>
      <c r="H59" s="6" t="s">
        <v>228</v>
      </c>
    </row>
    <row r="60" customFormat="false" ht="30" hidden="false" customHeight="true" outlineLevel="0" collapsed="false">
      <c r="A60" s="26" t="s">
        <v>624</v>
      </c>
      <c r="B60" s="27" t="s">
        <v>777</v>
      </c>
      <c r="C60" s="26" t="n">
        <v>22</v>
      </c>
      <c r="D60" s="9" t="s">
        <v>833</v>
      </c>
      <c r="E60" s="26" t="s">
        <v>834</v>
      </c>
      <c r="F60" s="26" t="n">
        <v>94.5</v>
      </c>
      <c r="G60" s="26" t="s">
        <v>715</v>
      </c>
      <c r="H60" s="6" t="s">
        <v>228</v>
      </c>
    </row>
    <row r="61" customFormat="false" ht="30" hidden="false" customHeight="true" outlineLevel="0" collapsed="false">
      <c r="A61" s="26" t="s">
        <v>624</v>
      </c>
      <c r="B61" s="27" t="s">
        <v>777</v>
      </c>
      <c r="C61" s="26" t="n">
        <v>23</v>
      </c>
      <c r="D61" s="9" t="s">
        <v>835</v>
      </c>
      <c r="E61" s="26" t="s">
        <v>836</v>
      </c>
      <c r="F61" s="26" t="n">
        <v>93.9</v>
      </c>
      <c r="G61" s="26" t="s">
        <v>678</v>
      </c>
      <c r="H61" s="6" t="s">
        <v>61</v>
      </c>
    </row>
    <row r="62" customFormat="false" ht="30" hidden="false" customHeight="true" outlineLevel="0" collapsed="false">
      <c r="A62" s="26" t="s">
        <v>624</v>
      </c>
      <c r="B62" s="27" t="s">
        <v>777</v>
      </c>
      <c r="C62" s="26" t="n">
        <v>24</v>
      </c>
      <c r="D62" s="9" t="s">
        <v>837</v>
      </c>
      <c r="E62" s="26" t="s">
        <v>838</v>
      </c>
      <c r="F62" s="26" t="n">
        <v>91.9</v>
      </c>
      <c r="G62" s="26" t="s">
        <v>681</v>
      </c>
      <c r="H62" s="6" t="s">
        <v>71</v>
      </c>
    </row>
    <row r="63" customFormat="false" ht="30" hidden="false" customHeight="true" outlineLevel="0" collapsed="false">
      <c r="A63" s="26" t="s">
        <v>624</v>
      </c>
      <c r="B63" s="27" t="s">
        <v>777</v>
      </c>
      <c r="C63" s="26" t="n">
        <v>25</v>
      </c>
      <c r="D63" s="9" t="s">
        <v>839</v>
      </c>
      <c r="E63" s="26" t="s">
        <v>840</v>
      </c>
      <c r="F63" s="26" t="n">
        <v>102.7</v>
      </c>
      <c r="G63" s="26" t="s">
        <v>681</v>
      </c>
      <c r="H63" s="6" t="s">
        <v>71</v>
      </c>
    </row>
    <row r="64" customFormat="false" ht="30" hidden="false" customHeight="true" outlineLevel="0" collapsed="false">
      <c r="A64" s="26" t="s">
        <v>624</v>
      </c>
      <c r="B64" s="27" t="s">
        <v>777</v>
      </c>
      <c r="C64" s="26" t="n">
        <v>26</v>
      </c>
      <c r="D64" s="9" t="s">
        <v>841</v>
      </c>
      <c r="E64" s="26" t="s">
        <v>842</v>
      </c>
      <c r="F64" s="26" t="n">
        <v>85.9</v>
      </c>
      <c r="G64" s="26" t="s">
        <v>681</v>
      </c>
      <c r="H64" s="6" t="s">
        <v>71</v>
      </c>
    </row>
    <row r="65" customFormat="false" ht="30" hidden="false" customHeight="true" outlineLevel="0" collapsed="false">
      <c r="A65" s="26" t="s">
        <v>624</v>
      </c>
      <c r="B65" s="27" t="s">
        <v>777</v>
      </c>
      <c r="C65" s="26" t="n">
        <v>27</v>
      </c>
      <c r="D65" s="9" t="s">
        <v>843</v>
      </c>
      <c r="E65" s="26" t="s">
        <v>844</v>
      </c>
      <c r="F65" s="26" t="n">
        <v>96.6</v>
      </c>
      <c r="G65" s="26" t="s">
        <v>696</v>
      </c>
      <c r="H65" s="6" t="s">
        <v>88</v>
      </c>
    </row>
    <row r="66" customFormat="false" ht="30" hidden="false" customHeight="true" outlineLevel="0" collapsed="false">
      <c r="A66" s="26" t="s">
        <v>624</v>
      </c>
      <c r="B66" s="27" t="s">
        <v>777</v>
      </c>
      <c r="C66" s="26" t="n">
        <v>28</v>
      </c>
      <c r="D66" s="9" t="s">
        <v>845</v>
      </c>
      <c r="E66" s="26" t="s">
        <v>846</v>
      </c>
      <c r="F66" s="26" t="n">
        <v>79</v>
      </c>
      <c r="G66" s="26" t="s">
        <v>696</v>
      </c>
      <c r="H66" s="6" t="s">
        <v>88</v>
      </c>
    </row>
    <row r="67" customFormat="false" ht="30" hidden="false" customHeight="true" outlineLevel="0" collapsed="false">
      <c r="A67" s="26" t="s">
        <v>624</v>
      </c>
      <c r="B67" s="27" t="s">
        <v>777</v>
      </c>
      <c r="C67" s="26" t="n">
        <v>29</v>
      </c>
      <c r="D67" s="9" t="s">
        <v>847</v>
      </c>
      <c r="E67" s="26" t="s">
        <v>848</v>
      </c>
      <c r="F67" s="26" t="n">
        <v>101.5</v>
      </c>
      <c r="G67" s="26" t="s">
        <v>696</v>
      </c>
      <c r="H67" s="6" t="s">
        <v>88</v>
      </c>
    </row>
    <row r="68" customFormat="false" ht="30" hidden="false" customHeight="true" outlineLevel="0" collapsed="false">
      <c r="A68" s="26" t="s">
        <v>624</v>
      </c>
      <c r="B68" s="27" t="s">
        <v>777</v>
      </c>
      <c r="C68" s="26" t="n">
        <v>30</v>
      </c>
      <c r="D68" s="9" t="s">
        <v>849</v>
      </c>
      <c r="E68" s="26" t="s">
        <v>850</v>
      </c>
      <c r="F68" s="26" t="n">
        <v>101</v>
      </c>
      <c r="G68" s="26" t="s">
        <v>699</v>
      </c>
      <c r="H68" s="6" t="s">
        <v>95</v>
      </c>
    </row>
    <row r="69" customFormat="false" ht="30" hidden="false" customHeight="true" outlineLevel="0" collapsed="false">
      <c r="A69" s="26" t="s">
        <v>624</v>
      </c>
      <c r="B69" s="27" t="s">
        <v>777</v>
      </c>
      <c r="C69" s="26" t="n">
        <v>31</v>
      </c>
      <c r="D69" s="9" t="s">
        <v>851</v>
      </c>
      <c r="E69" s="26" t="s">
        <v>852</v>
      </c>
      <c r="F69" s="26" t="n">
        <v>88.5</v>
      </c>
      <c r="G69" s="26" t="s">
        <v>699</v>
      </c>
      <c r="H69" s="6" t="s">
        <v>95</v>
      </c>
    </row>
    <row r="70" customFormat="false" ht="30" hidden="false" customHeight="true" outlineLevel="0" collapsed="false">
      <c r="A70" s="26" t="s">
        <v>624</v>
      </c>
      <c r="B70" s="27" t="s">
        <v>777</v>
      </c>
      <c r="C70" s="26" t="n">
        <v>32</v>
      </c>
      <c r="D70" s="9" t="s">
        <v>853</v>
      </c>
      <c r="E70" s="26" t="s">
        <v>854</v>
      </c>
      <c r="F70" s="26" t="n">
        <v>84.7</v>
      </c>
      <c r="G70" s="26" t="s">
        <v>699</v>
      </c>
      <c r="H70" s="6" t="s">
        <v>95</v>
      </c>
    </row>
    <row r="71" customFormat="false" ht="30" hidden="false" customHeight="true" outlineLevel="0" collapsed="false">
      <c r="A71" s="26" t="s">
        <v>624</v>
      </c>
      <c r="B71" s="27" t="s">
        <v>777</v>
      </c>
      <c r="C71" s="26" t="n">
        <v>33</v>
      </c>
      <c r="D71" s="9" t="s">
        <v>855</v>
      </c>
      <c r="E71" s="26" t="s">
        <v>856</v>
      </c>
      <c r="F71" s="26" t="n">
        <v>97.2</v>
      </c>
      <c r="G71" s="26" t="s">
        <v>687</v>
      </c>
      <c r="H71" s="6" t="s">
        <v>82</v>
      </c>
    </row>
    <row r="72" customFormat="false" ht="30" hidden="false" customHeight="true" outlineLevel="0" collapsed="false">
      <c r="A72" s="26" t="s">
        <v>624</v>
      </c>
      <c r="B72" s="27" t="s">
        <v>777</v>
      </c>
      <c r="C72" s="26" t="n">
        <v>34</v>
      </c>
      <c r="D72" s="9" t="s">
        <v>857</v>
      </c>
      <c r="E72" s="26" t="s">
        <v>858</v>
      </c>
      <c r="F72" s="26" t="n">
        <v>85.9</v>
      </c>
      <c r="G72" s="26" t="s">
        <v>721</v>
      </c>
      <c r="H72" s="6" t="s">
        <v>166</v>
      </c>
    </row>
    <row r="73" customFormat="false" ht="30" hidden="false" customHeight="true" outlineLevel="0" collapsed="false">
      <c r="A73" s="26" t="s">
        <v>624</v>
      </c>
      <c r="B73" s="27" t="s">
        <v>777</v>
      </c>
      <c r="C73" s="26" t="n">
        <v>35</v>
      </c>
      <c r="D73" s="9" t="s">
        <v>859</v>
      </c>
      <c r="E73" s="26" t="s">
        <v>860</v>
      </c>
      <c r="F73" s="26" t="n">
        <v>89.8</v>
      </c>
      <c r="G73" s="26" t="s">
        <v>721</v>
      </c>
      <c r="H73" s="6" t="s">
        <v>166</v>
      </c>
    </row>
    <row r="74" customFormat="false" ht="30" hidden="false" customHeight="true" outlineLevel="0" collapsed="false">
      <c r="A74" s="26" t="s">
        <v>624</v>
      </c>
      <c r="B74" s="27" t="s">
        <v>777</v>
      </c>
      <c r="C74" s="26" t="n">
        <v>36</v>
      </c>
      <c r="D74" s="9" t="s">
        <v>861</v>
      </c>
      <c r="E74" s="26" t="s">
        <v>862</v>
      </c>
      <c r="F74" s="26" t="n">
        <v>97.6</v>
      </c>
      <c r="G74" s="26" t="s">
        <v>702</v>
      </c>
      <c r="H74" s="6" t="s">
        <v>101</v>
      </c>
    </row>
    <row r="75" customFormat="false" ht="30" hidden="false" customHeight="true" outlineLevel="0" collapsed="false">
      <c r="A75" s="26" t="s">
        <v>624</v>
      </c>
      <c r="B75" s="27" t="s">
        <v>777</v>
      </c>
      <c r="C75" s="26" t="n">
        <v>37</v>
      </c>
      <c r="D75" s="9" t="s">
        <v>863</v>
      </c>
      <c r="E75" s="26" t="s">
        <v>864</v>
      </c>
      <c r="F75" s="26" t="n">
        <v>101.3</v>
      </c>
      <c r="G75" s="26" t="s">
        <v>865</v>
      </c>
      <c r="H75" s="6" t="s">
        <v>866</v>
      </c>
    </row>
    <row r="76" customFormat="false" ht="30" hidden="false" customHeight="true" outlineLevel="0" collapsed="false">
      <c r="A76" s="26" t="s">
        <v>624</v>
      </c>
      <c r="B76" s="27" t="s">
        <v>777</v>
      </c>
      <c r="C76" s="26" t="n">
        <v>38</v>
      </c>
      <c r="D76" s="9" t="s">
        <v>867</v>
      </c>
      <c r="E76" s="26" t="s">
        <v>868</v>
      </c>
      <c r="F76" s="26" t="n">
        <v>99.8</v>
      </c>
      <c r="G76" s="26" t="s">
        <v>865</v>
      </c>
      <c r="H76" s="6" t="s">
        <v>866</v>
      </c>
    </row>
    <row r="77" customFormat="false" ht="30" hidden="false" customHeight="true" outlineLevel="0" collapsed="false">
      <c r="A77" s="26" t="s">
        <v>624</v>
      </c>
      <c r="B77" s="27" t="s">
        <v>777</v>
      </c>
      <c r="C77" s="26" t="n">
        <v>39</v>
      </c>
      <c r="D77" s="9" t="s">
        <v>869</v>
      </c>
      <c r="E77" s="26" t="s">
        <v>870</v>
      </c>
      <c r="F77" s="26" t="n">
        <v>88.9</v>
      </c>
      <c r="G77" s="26" t="s">
        <v>871</v>
      </c>
      <c r="H77" s="6" t="s">
        <v>114</v>
      </c>
    </row>
    <row r="78" customFormat="false" ht="30" hidden="false" customHeight="true" outlineLevel="0" collapsed="false">
      <c r="A78" s="26" t="s">
        <v>624</v>
      </c>
      <c r="B78" s="27" t="s">
        <v>777</v>
      </c>
      <c r="C78" s="26" t="n">
        <v>40</v>
      </c>
      <c r="D78" s="9" t="s">
        <v>872</v>
      </c>
      <c r="E78" s="26" t="s">
        <v>873</v>
      </c>
      <c r="F78" s="26" t="n">
        <v>93.7</v>
      </c>
      <c r="G78" s="26" t="s">
        <v>753</v>
      </c>
      <c r="H78" s="6" t="s">
        <v>267</v>
      </c>
    </row>
    <row r="79" customFormat="false" ht="30" hidden="false" customHeight="true" outlineLevel="0" collapsed="false">
      <c r="A79" s="26" t="s">
        <v>624</v>
      </c>
      <c r="B79" s="27" t="s">
        <v>777</v>
      </c>
      <c r="C79" s="26" t="n">
        <v>41</v>
      </c>
      <c r="D79" s="9" t="s">
        <v>874</v>
      </c>
      <c r="E79" s="26" t="s">
        <v>875</v>
      </c>
      <c r="F79" s="26" t="n">
        <v>88.1</v>
      </c>
      <c r="G79" s="26" t="s">
        <v>724</v>
      </c>
      <c r="H79" s="6" t="s">
        <v>192</v>
      </c>
    </row>
    <row r="80" customFormat="false" ht="30" hidden="false" customHeight="true" outlineLevel="0" collapsed="false">
      <c r="A80" s="26" t="s">
        <v>624</v>
      </c>
      <c r="B80" s="27" t="s">
        <v>777</v>
      </c>
      <c r="C80" s="26" t="n">
        <v>42</v>
      </c>
      <c r="D80" s="9" t="s">
        <v>876</v>
      </c>
      <c r="E80" s="26" t="s">
        <v>877</v>
      </c>
      <c r="F80" s="26" t="n">
        <v>80.2</v>
      </c>
      <c r="G80" s="26" t="s">
        <v>724</v>
      </c>
      <c r="H80" s="6" t="s">
        <v>192</v>
      </c>
    </row>
    <row r="81" customFormat="false" ht="30" hidden="false" customHeight="true" outlineLevel="0" collapsed="false">
      <c r="A81" s="26" t="s">
        <v>624</v>
      </c>
      <c r="B81" s="27" t="s">
        <v>777</v>
      </c>
      <c r="C81" s="26" t="n">
        <v>43</v>
      </c>
      <c r="D81" s="9" t="s">
        <v>878</v>
      </c>
      <c r="E81" s="26" t="s">
        <v>879</v>
      </c>
      <c r="F81" s="26" t="n">
        <v>96</v>
      </c>
      <c r="G81" s="26" t="s">
        <v>724</v>
      </c>
      <c r="H81" s="6" t="s">
        <v>192</v>
      </c>
    </row>
    <row r="82" customFormat="false" ht="30" hidden="false" customHeight="true" outlineLevel="0" collapsed="false">
      <c r="A82" s="26" t="s">
        <v>624</v>
      </c>
      <c r="B82" s="27" t="s">
        <v>777</v>
      </c>
      <c r="C82" s="26" t="n">
        <v>44</v>
      </c>
      <c r="D82" s="9" t="s">
        <v>880</v>
      </c>
      <c r="E82" s="26" t="s">
        <v>881</v>
      </c>
      <c r="F82" s="26" t="n">
        <v>89.3</v>
      </c>
      <c r="G82" s="26" t="s">
        <v>882</v>
      </c>
      <c r="H82" s="6" t="s">
        <v>883</v>
      </c>
    </row>
    <row r="83" customFormat="false" ht="30" hidden="false" customHeight="true" outlineLevel="0" collapsed="false">
      <c r="A83" s="26" t="s">
        <v>624</v>
      </c>
      <c r="B83" s="27" t="s">
        <v>777</v>
      </c>
      <c r="C83" s="26" t="n">
        <v>45</v>
      </c>
      <c r="D83" s="9" t="s">
        <v>884</v>
      </c>
      <c r="E83" s="26" t="s">
        <v>885</v>
      </c>
      <c r="F83" s="26" t="n">
        <v>85.2</v>
      </c>
      <c r="G83" s="26" t="s">
        <v>743</v>
      </c>
      <c r="H83" s="6" t="s">
        <v>217</v>
      </c>
    </row>
    <row r="84" customFormat="false" ht="30" hidden="false" customHeight="true" outlineLevel="0" collapsed="false">
      <c r="A84" s="26" t="s">
        <v>624</v>
      </c>
      <c r="B84" s="27" t="s">
        <v>777</v>
      </c>
      <c r="C84" s="26" t="n">
        <v>46</v>
      </c>
      <c r="D84" s="9" t="s">
        <v>886</v>
      </c>
      <c r="E84" s="26" t="s">
        <v>887</v>
      </c>
      <c r="F84" s="26" t="n">
        <v>75.2</v>
      </c>
      <c r="G84" s="26" t="s">
        <v>888</v>
      </c>
      <c r="H84" s="6" t="s">
        <v>224</v>
      </c>
    </row>
    <row r="85" customFormat="false" ht="30" hidden="false" customHeight="true" outlineLevel="0" collapsed="false">
      <c r="A85" s="26" t="s">
        <v>624</v>
      </c>
      <c r="B85" s="27" t="s">
        <v>777</v>
      </c>
      <c r="C85" s="26" t="n">
        <v>47</v>
      </c>
      <c r="D85" s="9" t="s">
        <v>889</v>
      </c>
      <c r="E85" s="26" t="s">
        <v>890</v>
      </c>
      <c r="F85" s="26" t="n">
        <v>81.3</v>
      </c>
      <c r="G85" s="26" t="s">
        <v>743</v>
      </c>
      <c r="H85" s="6" t="s">
        <v>217</v>
      </c>
    </row>
    <row r="86" customFormat="false" ht="30" hidden="false" customHeight="true" outlineLevel="0" collapsed="false">
      <c r="A86" s="26" t="s">
        <v>624</v>
      </c>
      <c r="B86" s="27" t="s">
        <v>777</v>
      </c>
      <c r="C86" s="26" t="n">
        <v>48</v>
      </c>
      <c r="D86" s="9" t="s">
        <v>891</v>
      </c>
      <c r="E86" s="26" t="s">
        <v>892</v>
      </c>
      <c r="F86" s="26" t="n">
        <v>95.8</v>
      </c>
      <c r="G86" s="26" t="s">
        <v>893</v>
      </c>
      <c r="H86" s="6" t="s">
        <v>894</v>
      </c>
    </row>
    <row r="87" customFormat="false" ht="30" hidden="false" customHeight="true" outlineLevel="0" collapsed="false">
      <c r="A87" s="26" t="s">
        <v>624</v>
      </c>
      <c r="B87" s="27" t="s">
        <v>777</v>
      </c>
      <c r="C87" s="26" t="n">
        <v>49</v>
      </c>
      <c r="D87" s="9" t="s">
        <v>895</v>
      </c>
      <c r="E87" s="26" t="s">
        <v>896</v>
      </c>
      <c r="F87" s="26" t="n">
        <v>97.1</v>
      </c>
      <c r="G87" s="26" t="s">
        <v>893</v>
      </c>
      <c r="H87" s="6" t="s">
        <v>894</v>
      </c>
    </row>
    <row r="88" customFormat="false" ht="30" hidden="false" customHeight="true" outlineLevel="0" collapsed="false">
      <c r="A88" s="26" t="s">
        <v>624</v>
      </c>
      <c r="B88" s="27" t="s">
        <v>777</v>
      </c>
      <c r="C88" s="26" t="n">
        <v>50</v>
      </c>
      <c r="D88" s="9" t="s">
        <v>897</v>
      </c>
      <c r="E88" s="26" t="s">
        <v>898</v>
      </c>
      <c r="F88" s="26" t="n">
        <v>89.6</v>
      </c>
      <c r="G88" s="26" t="s">
        <v>899</v>
      </c>
      <c r="H88" s="6" t="s">
        <v>197</v>
      </c>
    </row>
    <row r="89" customFormat="false" ht="30" hidden="false" customHeight="true" outlineLevel="0" collapsed="false">
      <c r="A89" s="26" t="s">
        <v>624</v>
      </c>
      <c r="B89" s="27" t="s">
        <v>777</v>
      </c>
      <c r="C89" s="26" t="n">
        <v>51</v>
      </c>
      <c r="D89" s="9" t="s">
        <v>900</v>
      </c>
      <c r="E89" s="26" t="s">
        <v>901</v>
      </c>
      <c r="F89" s="26" t="n">
        <v>91.2</v>
      </c>
      <c r="G89" s="26" t="s">
        <v>899</v>
      </c>
      <c r="H89" s="6" t="s">
        <v>197</v>
      </c>
    </row>
    <row r="90" customFormat="false" ht="30" hidden="false" customHeight="true" outlineLevel="0" collapsed="false">
      <c r="A90" s="26" t="s">
        <v>624</v>
      </c>
      <c r="B90" s="27" t="s">
        <v>777</v>
      </c>
      <c r="C90" s="26" t="n">
        <v>52</v>
      </c>
      <c r="D90" s="9" t="s">
        <v>902</v>
      </c>
      <c r="E90" s="26" t="s">
        <v>903</v>
      </c>
      <c r="F90" s="26" t="n">
        <v>88.6</v>
      </c>
      <c r="G90" s="26" t="s">
        <v>740</v>
      </c>
      <c r="H90" s="6" t="s">
        <v>238</v>
      </c>
    </row>
    <row r="91" customFormat="false" ht="30" hidden="false" customHeight="true" outlineLevel="0" collapsed="false">
      <c r="A91" s="26" t="s">
        <v>624</v>
      </c>
      <c r="B91" s="27" t="s">
        <v>777</v>
      </c>
      <c r="C91" s="26" t="n">
        <v>53</v>
      </c>
      <c r="D91" s="9" t="s">
        <v>904</v>
      </c>
      <c r="E91" s="26" t="s">
        <v>905</v>
      </c>
      <c r="F91" s="26" t="n">
        <v>97.6</v>
      </c>
      <c r="G91" s="26" t="s">
        <v>906</v>
      </c>
      <c r="H91" s="6" t="s">
        <v>177</v>
      </c>
    </row>
    <row r="92" customFormat="false" ht="30" hidden="false" customHeight="true" outlineLevel="0" collapsed="false">
      <c r="A92" s="26" t="s">
        <v>624</v>
      </c>
      <c r="B92" s="27" t="s">
        <v>777</v>
      </c>
      <c r="C92" s="26" t="n">
        <v>54</v>
      </c>
      <c r="D92" s="9" t="s">
        <v>907</v>
      </c>
      <c r="E92" s="26" t="s">
        <v>908</v>
      </c>
      <c r="F92" s="26" t="n">
        <v>96.3</v>
      </c>
      <c r="G92" s="26" t="s">
        <v>906</v>
      </c>
      <c r="H92" s="6" t="s">
        <v>177</v>
      </c>
    </row>
    <row r="93" customFormat="false" ht="30" hidden="false" customHeight="true" outlineLevel="0" collapsed="false">
      <c r="A93" s="26" t="s">
        <v>624</v>
      </c>
      <c r="B93" s="27" t="s">
        <v>777</v>
      </c>
      <c r="C93" s="26" t="n">
        <v>55</v>
      </c>
      <c r="D93" s="9" t="s">
        <v>909</v>
      </c>
      <c r="E93" s="26" t="s">
        <v>910</v>
      </c>
      <c r="F93" s="26" t="n">
        <v>84.4</v>
      </c>
      <c r="G93" s="26" t="s">
        <v>906</v>
      </c>
      <c r="H93" s="6" t="s">
        <v>177</v>
      </c>
    </row>
    <row r="94" customFormat="false" ht="30" hidden="false" customHeight="true" outlineLevel="0" collapsed="false">
      <c r="A94" s="26" t="s">
        <v>624</v>
      </c>
      <c r="B94" s="27" t="s">
        <v>777</v>
      </c>
      <c r="C94" s="26" t="n">
        <v>56</v>
      </c>
      <c r="D94" s="9" t="s">
        <v>911</v>
      </c>
      <c r="E94" s="26" t="s">
        <v>912</v>
      </c>
      <c r="F94" s="26" t="n">
        <v>92.5</v>
      </c>
      <c r="G94" s="26" t="s">
        <v>913</v>
      </c>
      <c r="H94" s="6" t="s">
        <v>202</v>
      </c>
    </row>
    <row r="95" customFormat="false" ht="30" hidden="false" customHeight="true" outlineLevel="0" collapsed="false">
      <c r="A95" s="26" t="s">
        <v>624</v>
      </c>
      <c r="B95" s="27" t="s">
        <v>777</v>
      </c>
      <c r="C95" s="26" t="n">
        <v>57</v>
      </c>
      <c r="D95" s="9" t="s">
        <v>914</v>
      </c>
      <c r="E95" s="26" t="s">
        <v>915</v>
      </c>
      <c r="F95" s="26" t="n">
        <v>68.2</v>
      </c>
      <c r="G95" s="26" t="s">
        <v>913</v>
      </c>
      <c r="H95" s="6" t="s">
        <v>202</v>
      </c>
    </row>
    <row r="96" customFormat="false" ht="30" hidden="false" customHeight="true" outlineLevel="0" collapsed="false">
      <c r="A96" s="26" t="s">
        <v>624</v>
      </c>
      <c r="B96" s="27" t="s">
        <v>777</v>
      </c>
      <c r="C96" s="26" t="n">
        <v>58</v>
      </c>
      <c r="D96" s="9" t="s">
        <v>916</v>
      </c>
      <c r="E96" s="26" t="s">
        <v>917</v>
      </c>
      <c r="F96" s="26" t="n">
        <v>50</v>
      </c>
      <c r="G96" s="26" t="s">
        <v>734</v>
      </c>
      <c r="H96" s="6" t="s">
        <v>188</v>
      </c>
    </row>
    <row r="97" customFormat="false" ht="30" hidden="false" customHeight="true" outlineLevel="0" collapsed="false">
      <c r="A97" s="26" t="s">
        <v>624</v>
      </c>
      <c r="B97" s="27" t="s">
        <v>777</v>
      </c>
      <c r="C97" s="26" t="n">
        <v>59</v>
      </c>
      <c r="D97" s="9" t="s">
        <v>918</v>
      </c>
      <c r="E97" s="26" t="s">
        <v>919</v>
      </c>
      <c r="F97" s="26" t="n">
        <v>87.2</v>
      </c>
      <c r="G97" s="26" t="s">
        <v>718</v>
      </c>
      <c r="H97" s="6" t="s">
        <v>182</v>
      </c>
    </row>
    <row r="98" customFormat="false" ht="30" hidden="false" customHeight="true" outlineLevel="0" collapsed="false">
      <c r="A98" s="26" t="s">
        <v>624</v>
      </c>
      <c r="B98" s="27" t="s">
        <v>777</v>
      </c>
      <c r="C98" s="26" t="n">
        <v>60</v>
      </c>
      <c r="D98" s="9" t="s">
        <v>920</v>
      </c>
      <c r="E98" s="26" t="s">
        <v>921</v>
      </c>
      <c r="F98" s="26" t="n">
        <v>83.6</v>
      </c>
      <c r="G98" s="26" t="s">
        <v>922</v>
      </c>
      <c r="H98" s="6" t="s">
        <v>262</v>
      </c>
    </row>
    <row r="99" customFormat="false" ht="30" hidden="false" customHeight="true" outlineLevel="0" collapsed="false">
      <c r="A99" s="26" t="s">
        <v>624</v>
      </c>
      <c r="B99" s="27" t="s">
        <v>777</v>
      </c>
      <c r="C99" s="26" t="n">
        <v>61</v>
      </c>
      <c r="D99" s="9" t="s">
        <v>923</v>
      </c>
      <c r="E99" s="26" t="s">
        <v>924</v>
      </c>
      <c r="F99" s="26" t="n">
        <v>91.2</v>
      </c>
      <c r="G99" s="26" t="s">
        <v>925</v>
      </c>
      <c r="H99" s="6" t="s">
        <v>250</v>
      </c>
    </row>
    <row r="100" customFormat="false" ht="30" hidden="false" customHeight="true" outlineLevel="0" collapsed="false">
      <c r="A100" s="26" t="s">
        <v>624</v>
      </c>
      <c r="B100" s="27" t="s">
        <v>777</v>
      </c>
      <c r="C100" s="26" t="n">
        <v>62</v>
      </c>
      <c r="D100" s="9" t="s">
        <v>926</v>
      </c>
      <c r="E100" s="26" t="s">
        <v>927</v>
      </c>
      <c r="F100" s="26" t="n">
        <v>92.5</v>
      </c>
      <c r="G100" s="26" t="s">
        <v>925</v>
      </c>
      <c r="H100" s="6" t="s">
        <v>250</v>
      </c>
    </row>
    <row r="101" customFormat="false" ht="30" hidden="false" customHeight="true" outlineLevel="0" collapsed="false">
      <c r="A101" s="26" t="s">
        <v>624</v>
      </c>
      <c r="B101" s="27" t="s">
        <v>777</v>
      </c>
      <c r="C101" s="26" t="n">
        <v>63</v>
      </c>
      <c r="D101" s="9" t="s">
        <v>928</v>
      </c>
      <c r="E101" s="26" t="s">
        <v>929</v>
      </c>
      <c r="F101" s="26" t="n">
        <v>90.9</v>
      </c>
      <c r="G101" s="26" t="s">
        <v>930</v>
      </c>
      <c r="H101" s="6" t="s">
        <v>66</v>
      </c>
    </row>
    <row r="102" customFormat="false" ht="30" hidden="false" customHeight="true" outlineLevel="0" collapsed="false">
      <c r="A102" s="26" t="s">
        <v>624</v>
      </c>
      <c r="B102" s="27" t="s">
        <v>777</v>
      </c>
      <c r="C102" s="26" t="n">
        <v>64</v>
      </c>
      <c r="D102" s="9" t="s">
        <v>931</v>
      </c>
      <c r="E102" s="26" t="s">
        <v>932</v>
      </c>
      <c r="F102" s="26" t="n">
        <v>88.7</v>
      </c>
      <c r="G102" s="26" t="s">
        <v>743</v>
      </c>
      <c r="H102" s="6" t="s">
        <v>217</v>
      </c>
    </row>
    <row r="103" customFormat="false" ht="30" hidden="false" customHeight="true" outlineLevel="0" collapsed="false">
      <c r="A103" s="26" t="s">
        <v>624</v>
      </c>
      <c r="B103" s="27" t="s">
        <v>777</v>
      </c>
      <c r="C103" s="26" t="n">
        <v>65</v>
      </c>
      <c r="D103" s="9" t="s">
        <v>933</v>
      </c>
      <c r="E103" s="26" t="s">
        <v>934</v>
      </c>
      <c r="F103" s="26" t="n">
        <v>87.7</v>
      </c>
      <c r="G103" s="26" t="s">
        <v>743</v>
      </c>
      <c r="H103" s="6" t="s">
        <v>217</v>
      </c>
    </row>
    <row r="104" customFormat="false" ht="30" hidden="false" customHeight="true" outlineLevel="0" collapsed="false">
      <c r="A104" s="26" t="s">
        <v>624</v>
      </c>
      <c r="B104" s="27" t="s">
        <v>777</v>
      </c>
      <c r="C104" s="26" t="n">
        <v>66</v>
      </c>
      <c r="D104" s="9" t="s">
        <v>935</v>
      </c>
      <c r="E104" s="26" t="s">
        <v>936</v>
      </c>
      <c r="F104" s="26" t="n">
        <v>89.7</v>
      </c>
      <c r="G104" s="26" t="s">
        <v>937</v>
      </c>
      <c r="H104" s="6" t="s">
        <v>575</v>
      </c>
    </row>
    <row r="105" customFormat="false" ht="30" hidden="false" customHeight="true" outlineLevel="0" collapsed="false">
      <c r="A105" s="26" t="s">
        <v>624</v>
      </c>
      <c r="B105" s="27" t="s">
        <v>777</v>
      </c>
      <c r="C105" s="26" t="n">
        <v>67</v>
      </c>
      <c r="D105" s="9" t="s">
        <v>938</v>
      </c>
      <c r="E105" s="26" t="s">
        <v>939</v>
      </c>
      <c r="F105" s="26" t="n">
        <v>90.7</v>
      </c>
      <c r="G105" s="26" t="s">
        <v>940</v>
      </c>
      <c r="H105" s="6" t="s">
        <v>509</v>
      </c>
    </row>
    <row r="106" customFormat="false" ht="30" hidden="false" customHeight="true" outlineLevel="0" collapsed="false">
      <c r="A106" s="26" t="s">
        <v>624</v>
      </c>
      <c r="B106" s="27" t="s">
        <v>777</v>
      </c>
      <c r="C106" s="26" t="n">
        <v>68</v>
      </c>
      <c r="D106" s="9" t="s">
        <v>941</v>
      </c>
      <c r="E106" s="26" t="s">
        <v>942</v>
      </c>
      <c r="F106" s="26" t="n">
        <v>97</v>
      </c>
      <c r="G106" s="26" t="s">
        <v>943</v>
      </c>
      <c r="H106" s="6" t="s">
        <v>944</v>
      </c>
    </row>
    <row r="107" customFormat="false" ht="30" hidden="false" customHeight="true" outlineLevel="0" collapsed="false">
      <c r="A107" s="26" t="s">
        <v>624</v>
      </c>
      <c r="B107" s="27" t="s">
        <v>777</v>
      </c>
      <c r="C107" s="26" t="n">
        <v>69</v>
      </c>
      <c r="D107" s="9" t="s">
        <v>945</v>
      </c>
      <c r="E107" s="26" t="s">
        <v>946</v>
      </c>
      <c r="F107" s="26" t="n">
        <v>78.7</v>
      </c>
      <c r="G107" s="26" t="s">
        <v>943</v>
      </c>
      <c r="H107" s="6" t="s">
        <v>944</v>
      </c>
    </row>
    <row r="108" customFormat="false" ht="30" hidden="false" customHeight="true" outlineLevel="0" collapsed="false">
      <c r="A108" s="26" t="s">
        <v>624</v>
      </c>
      <c r="B108" s="27" t="s">
        <v>777</v>
      </c>
      <c r="C108" s="26" t="n">
        <v>70</v>
      </c>
      <c r="D108" s="9" t="s">
        <v>947</v>
      </c>
      <c r="E108" s="26" t="s">
        <v>948</v>
      </c>
      <c r="F108" s="26" t="n">
        <v>91.2</v>
      </c>
      <c r="G108" s="26" t="s">
        <v>949</v>
      </c>
      <c r="H108" s="6" t="s">
        <v>950</v>
      </c>
    </row>
    <row r="109" customFormat="false" ht="30" hidden="false" customHeight="true" outlineLevel="0" collapsed="false">
      <c r="A109" s="26" t="s">
        <v>624</v>
      </c>
      <c r="B109" s="27" t="s">
        <v>777</v>
      </c>
      <c r="C109" s="26" t="n">
        <v>71</v>
      </c>
      <c r="D109" s="9" t="s">
        <v>951</v>
      </c>
      <c r="E109" s="26" t="s">
        <v>939</v>
      </c>
      <c r="F109" s="26" t="n">
        <v>90.7</v>
      </c>
      <c r="G109" s="26" t="s">
        <v>952</v>
      </c>
      <c r="H109" s="6" t="s">
        <v>286</v>
      </c>
    </row>
    <row r="110" customFormat="false" ht="30" hidden="false" customHeight="true" outlineLevel="0" collapsed="false">
      <c r="A110" s="26" t="s">
        <v>624</v>
      </c>
      <c r="B110" s="27" t="s">
        <v>777</v>
      </c>
      <c r="C110" s="26" t="n">
        <v>72</v>
      </c>
      <c r="D110" s="9" t="s">
        <v>953</v>
      </c>
      <c r="E110" s="26" t="s">
        <v>954</v>
      </c>
      <c r="F110" s="26" t="n">
        <v>95.7</v>
      </c>
      <c r="G110" s="26" t="s">
        <v>955</v>
      </c>
      <c r="H110" s="6" t="s">
        <v>293</v>
      </c>
    </row>
    <row r="111" customFormat="false" ht="30" hidden="false" customHeight="true" outlineLevel="0" collapsed="false">
      <c r="A111" s="26" t="s">
        <v>624</v>
      </c>
      <c r="B111" s="27" t="s">
        <v>777</v>
      </c>
      <c r="C111" s="26" t="n">
        <v>73</v>
      </c>
      <c r="D111" s="9" t="s">
        <v>956</v>
      </c>
      <c r="E111" s="26" t="s">
        <v>957</v>
      </c>
      <c r="F111" s="26" t="n">
        <v>95.2</v>
      </c>
      <c r="G111" s="26" t="s">
        <v>958</v>
      </c>
      <c r="H111" s="6" t="s">
        <v>959</v>
      </c>
    </row>
    <row r="112" customFormat="false" ht="30" hidden="false" customHeight="true" outlineLevel="0" collapsed="false">
      <c r="A112" s="26" t="s">
        <v>624</v>
      </c>
      <c r="B112" s="27" t="s">
        <v>777</v>
      </c>
      <c r="C112" s="26" t="n">
        <v>74</v>
      </c>
      <c r="D112" s="9" t="s">
        <v>960</v>
      </c>
      <c r="E112" s="26" t="s">
        <v>961</v>
      </c>
      <c r="F112" s="26" t="n">
        <v>90.8</v>
      </c>
      <c r="G112" s="26" t="s">
        <v>955</v>
      </c>
      <c r="H112" s="6" t="s">
        <v>293</v>
      </c>
    </row>
    <row r="113" customFormat="false" ht="30" hidden="false" customHeight="true" outlineLevel="0" collapsed="false">
      <c r="A113" s="26" t="s">
        <v>624</v>
      </c>
      <c r="B113" s="27" t="s">
        <v>777</v>
      </c>
      <c r="C113" s="26" t="n">
        <v>75</v>
      </c>
      <c r="D113" s="9" t="s">
        <v>962</v>
      </c>
      <c r="E113" s="26" t="s">
        <v>963</v>
      </c>
      <c r="F113" s="26" t="n">
        <v>95.4</v>
      </c>
      <c r="G113" s="26" t="s">
        <v>964</v>
      </c>
      <c r="H113" s="6" t="s">
        <v>298</v>
      </c>
    </row>
    <row r="114" customFormat="false" ht="30" hidden="false" customHeight="true" outlineLevel="0" collapsed="false">
      <c r="A114" s="26" t="s">
        <v>624</v>
      </c>
      <c r="B114" s="27" t="s">
        <v>777</v>
      </c>
      <c r="C114" s="26" t="n">
        <v>76</v>
      </c>
      <c r="D114" s="9" t="s">
        <v>965</v>
      </c>
      <c r="E114" s="26" t="s">
        <v>966</v>
      </c>
      <c r="F114" s="26" t="n">
        <v>102.9</v>
      </c>
      <c r="G114" s="26" t="s">
        <v>967</v>
      </c>
      <c r="H114" s="6" t="s">
        <v>968</v>
      </c>
    </row>
    <row r="115" customFormat="false" ht="30" hidden="false" customHeight="true" outlineLevel="0" collapsed="false">
      <c r="A115" s="26" t="s">
        <v>624</v>
      </c>
      <c r="B115" s="27" t="s">
        <v>777</v>
      </c>
      <c r="C115" s="26" t="n">
        <v>77</v>
      </c>
      <c r="D115" s="9" t="s">
        <v>969</v>
      </c>
      <c r="E115" s="26" t="s">
        <v>970</v>
      </c>
      <c r="F115" s="26" t="n">
        <v>90.4</v>
      </c>
      <c r="G115" s="26" t="s">
        <v>971</v>
      </c>
      <c r="H115" s="6" t="s">
        <v>330</v>
      </c>
    </row>
    <row r="116" customFormat="false" ht="30" hidden="false" customHeight="true" outlineLevel="0" collapsed="false">
      <c r="A116" s="26" t="s">
        <v>624</v>
      </c>
      <c r="B116" s="27" t="s">
        <v>777</v>
      </c>
      <c r="C116" s="26" t="n">
        <v>78</v>
      </c>
      <c r="D116" s="9" t="s">
        <v>972</v>
      </c>
      <c r="E116" s="26" t="s">
        <v>973</v>
      </c>
      <c r="F116" s="26" t="n">
        <v>94</v>
      </c>
      <c r="G116" s="26" t="s">
        <v>974</v>
      </c>
      <c r="H116" s="6" t="s">
        <v>975</v>
      </c>
    </row>
    <row r="117" customFormat="false" ht="30" hidden="false" customHeight="true" outlineLevel="0" collapsed="false">
      <c r="A117" s="26" t="s">
        <v>624</v>
      </c>
      <c r="B117" s="27" t="s">
        <v>777</v>
      </c>
      <c r="C117" s="26" t="n">
        <v>79</v>
      </c>
      <c r="D117" s="9" t="s">
        <v>976</v>
      </c>
      <c r="E117" s="26" t="s">
        <v>977</v>
      </c>
      <c r="F117" s="26" t="n">
        <v>86.3</v>
      </c>
      <c r="G117" s="26" t="s">
        <v>974</v>
      </c>
      <c r="H117" s="6" t="s">
        <v>975</v>
      </c>
    </row>
    <row r="118" customFormat="false" ht="30" hidden="false" customHeight="true" outlineLevel="0" collapsed="false">
      <c r="A118" s="26" t="s">
        <v>624</v>
      </c>
      <c r="B118" s="27" t="s">
        <v>777</v>
      </c>
      <c r="C118" s="26" t="n">
        <v>80</v>
      </c>
      <c r="D118" s="9" t="s">
        <v>978</v>
      </c>
      <c r="E118" s="26" t="s">
        <v>979</v>
      </c>
      <c r="F118" s="26" t="n">
        <v>83.1</v>
      </c>
      <c r="G118" s="26" t="s">
        <v>980</v>
      </c>
      <c r="H118" s="6" t="s">
        <v>341</v>
      </c>
    </row>
    <row r="119" customFormat="false" ht="30" hidden="false" customHeight="true" outlineLevel="0" collapsed="false">
      <c r="A119" s="26" t="s">
        <v>624</v>
      </c>
      <c r="B119" s="27" t="s">
        <v>777</v>
      </c>
      <c r="C119" s="26" t="n">
        <v>81</v>
      </c>
      <c r="D119" s="9" t="s">
        <v>981</v>
      </c>
      <c r="E119" s="26" t="s">
        <v>982</v>
      </c>
      <c r="F119" s="26" t="n">
        <v>89.5</v>
      </c>
      <c r="G119" s="26" t="s">
        <v>980</v>
      </c>
      <c r="H119" s="6" t="s">
        <v>341</v>
      </c>
    </row>
    <row r="120" customFormat="false" ht="30" hidden="false" customHeight="true" outlineLevel="0" collapsed="false">
      <c r="A120" s="26" t="s">
        <v>624</v>
      </c>
      <c r="B120" s="27" t="s">
        <v>777</v>
      </c>
      <c r="C120" s="26" t="n">
        <v>82</v>
      </c>
      <c r="D120" s="9" t="s">
        <v>983</v>
      </c>
      <c r="E120" s="26" t="s">
        <v>984</v>
      </c>
      <c r="F120" s="26" t="n">
        <v>88.9</v>
      </c>
      <c r="G120" s="26" t="s">
        <v>980</v>
      </c>
      <c r="H120" s="6" t="s">
        <v>341</v>
      </c>
    </row>
    <row r="121" customFormat="false" ht="30" hidden="false" customHeight="true" outlineLevel="0" collapsed="false">
      <c r="A121" s="26" t="s">
        <v>624</v>
      </c>
      <c r="B121" s="27" t="s">
        <v>777</v>
      </c>
      <c r="C121" s="26" t="n">
        <v>83</v>
      </c>
      <c r="D121" s="9" t="s">
        <v>985</v>
      </c>
      <c r="E121" s="26" t="s">
        <v>986</v>
      </c>
      <c r="F121" s="26" t="n">
        <v>95.6</v>
      </c>
      <c r="G121" s="26" t="s">
        <v>987</v>
      </c>
      <c r="H121" s="6" t="s">
        <v>346</v>
      </c>
    </row>
    <row r="122" customFormat="false" ht="30" hidden="false" customHeight="true" outlineLevel="0" collapsed="false">
      <c r="A122" s="26" t="s">
        <v>624</v>
      </c>
      <c r="B122" s="27" t="s">
        <v>777</v>
      </c>
      <c r="C122" s="26" t="n">
        <v>84</v>
      </c>
      <c r="D122" s="9" t="s">
        <v>988</v>
      </c>
      <c r="E122" s="26" t="s">
        <v>989</v>
      </c>
      <c r="F122" s="26" t="n">
        <v>88.2</v>
      </c>
      <c r="G122" s="26" t="s">
        <v>990</v>
      </c>
      <c r="H122" s="6" t="s">
        <v>351</v>
      </c>
    </row>
    <row r="123" customFormat="false" ht="30" hidden="false" customHeight="true" outlineLevel="0" collapsed="false">
      <c r="A123" s="26" t="s">
        <v>624</v>
      </c>
      <c r="B123" s="27" t="s">
        <v>777</v>
      </c>
      <c r="C123" s="26" t="n">
        <v>85</v>
      </c>
      <c r="D123" s="9" t="s">
        <v>991</v>
      </c>
      <c r="E123" s="26" t="s">
        <v>992</v>
      </c>
      <c r="F123" s="26" t="n">
        <v>98.6</v>
      </c>
      <c r="G123" s="26" t="s">
        <v>990</v>
      </c>
      <c r="H123" s="6" t="s">
        <v>351</v>
      </c>
    </row>
    <row r="124" customFormat="false" ht="30" hidden="false" customHeight="true" outlineLevel="0" collapsed="false">
      <c r="A124" s="26" t="s">
        <v>624</v>
      </c>
      <c r="B124" s="27" t="s">
        <v>777</v>
      </c>
      <c r="C124" s="26" t="n">
        <v>86</v>
      </c>
      <c r="D124" s="9" t="s">
        <v>993</v>
      </c>
      <c r="E124" s="26" t="s">
        <v>994</v>
      </c>
      <c r="F124" s="26" t="n">
        <v>71.2</v>
      </c>
      <c r="G124" s="26" t="s">
        <v>995</v>
      </c>
      <c r="H124" s="6" t="s">
        <v>996</v>
      </c>
    </row>
    <row r="125" customFormat="false" ht="30" hidden="false" customHeight="true" outlineLevel="0" collapsed="false">
      <c r="A125" s="26" t="s">
        <v>624</v>
      </c>
      <c r="B125" s="27" t="s">
        <v>777</v>
      </c>
      <c r="C125" s="26" t="n">
        <v>87</v>
      </c>
      <c r="D125" s="9" t="s">
        <v>997</v>
      </c>
      <c r="E125" s="26" t="s">
        <v>998</v>
      </c>
      <c r="F125" s="26" t="n">
        <v>86.2</v>
      </c>
      <c r="G125" s="26" t="s">
        <v>999</v>
      </c>
      <c r="H125" s="6" t="s">
        <v>383</v>
      </c>
    </row>
    <row r="126" customFormat="false" ht="30" hidden="false" customHeight="true" outlineLevel="0" collapsed="false">
      <c r="A126" s="26" t="s">
        <v>624</v>
      </c>
      <c r="B126" s="27" t="s">
        <v>777</v>
      </c>
      <c r="C126" s="26" t="n">
        <v>88</v>
      </c>
      <c r="D126" s="9" t="s">
        <v>1000</v>
      </c>
      <c r="E126" s="26" t="s">
        <v>1001</v>
      </c>
      <c r="F126" s="26" t="n">
        <v>79.8</v>
      </c>
      <c r="G126" s="26" t="s">
        <v>999</v>
      </c>
      <c r="H126" s="6" t="s">
        <v>383</v>
      </c>
    </row>
    <row r="127" customFormat="false" ht="16.5" hidden="false" customHeight="true" outlineLevel="0" collapsed="false">
      <c r="A127" s="26" t="s">
        <v>624</v>
      </c>
      <c r="B127" s="27" t="s">
        <v>777</v>
      </c>
      <c r="C127" s="26" t="n">
        <v>89</v>
      </c>
      <c r="D127" s="9" t="s">
        <v>1002</v>
      </c>
      <c r="E127" s="26" t="s">
        <v>1003</v>
      </c>
      <c r="F127" s="26" t="n">
        <v>87.9</v>
      </c>
      <c r="G127" s="26" t="s">
        <v>1004</v>
      </c>
      <c r="H127" s="6" t="s">
        <v>395</v>
      </c>
    </row>
    <row r="128" customFormat="false" ht="30" hidden="false" customHeight="true" outlineLevel="0" collapsed="false">
      <c r="A128" s="26" t="s">
        <v>624</v>
      </c>
      <c r="B128" s="27" t="s">
        <v>777</v>
      </c>
      <c r="C128" s="26" t="n">
        <v>90</v>
      </c>
      <c r="D128" s="9" t="s">
        <v>1005</v>
      </c>
      <c r="E128" s="26" t="s">
        <v>1006</v>
      </c>
      <c r="F128" s="26" t="n">
        <v>89.2</v>
      </c>
      <c r="G128" s="26" t="s">
        <v>1004</v>
      </c>
      <c r="H128" s="6" t="s">
        <v>395</v>
      </c>
    </row>
    <row r="129" customFormat="false" ht="30" hidden="false" customHeight="true" outlineLevel="0" collapsed="false">
      <c r="A129" s="26" t="s">
        <v>624</v>
      </c>
      <c r="B129" s="27" t="s">
        <v>777</v>
      </c>
      <c r="C129" s="26" t="n">
        <v>91</v>
      </c>
      <c r="D129" s="9" t="s">
        <v>1007</v>
      </c>
      <c r="E129" s="26" t="s">
        <v>1008</v>
      </c>
      <c r="F129" s="26" t="n">
        <v>68.3</v>
      </c>
      <c r="G129" s="26" t="s">
        <v>1009</v>
      </c>
      <c r="H129" s="6" t="s">
        <v>386</v>
      </c>
    </row>
    <row r="130" customFormat="false" ht="30" hidden="false" customHeight="true" outlineLevel="0" collapsed="false">
      <c r="A130" s="26" t="s">
        <v>624</v>
      </c>
      <c r="B130" s="27" t="s">
        <v>777</v>
      </c>
      <c r="C130" s="26" t="n">
        <v>92</v>
      </c>
      <c r="D130" s="9" t="s">
        <v>1010</v>
      </c>
      <c r="E130" s="26" t="s">
        <v>1011</v>
      </c>
      <c r="F130" s="26" t="n">
        <v>114</v>
      </c>
      <c r="G130" s="26" t="s">
        <v>1012</v>
      </c>
      <c r="H130" s="6" t="s">
        <v>390</v>
      </c>
    </row>
    <row r="131" customFormat="false" ht="30" hidden="false" customHeight="true" outlineLevel="0" collapsed="false">
      <c r="A131" s="26" t="s">
        <v>624</v>
      </c>
      <c r="B131" s="27" t="s">
        <v>777</v>
      </c>
      <c r="C131" s="26" t="n">
        <v>93</v>
      </c>
      <c r="D131" s="9" t="s">
        <v>1013</v>
      </c>
      <c r="E131" s="26" t="s">
        <v>1014</v>
      </c>
      <c r="F131" s="26" t="n">
        <v>160.4</v>
      </c>
      <c r="G131" s="26" t="s">
        <v>1015</v>
      </c>
      <c r="H131" s="6" t="s">
        <v>1016</v>
      </c>
    </row>
    <row r="132" customFormat="false" ht="30" hidden="false" customHeight="true" outlineLevel="0" collapsed="false">
      <c r="A132" s="26" t="s">
        <v>624</v>
      </c>
      <c r="B132" s="27" t="s">
        <v>777</v>
      </c>
      <c r="C132" s="26" t="n">
        <v>94</v>
      </c>
      <c r="D132" s="9" t="s">
        <v>1017</v>
      </c>
      <c r="E132" s="26" t="s">
        <v>1018</v>
      </c>
      <c r="F132" s="26" t="n">
        <v>50.8</v>
      </c>
      <c r="G132" s="26" t="s">
        <v>1019</v>
      </c>
      <c r="H132" s="6" t="s">
        <v>400</v>
      </c>
    </row>
    <row r="133" customFormat="false" ht="30" hidden="false" customHeight="true" outlineLevel="0" collapsed="false">
      <c r="A133" s="26" t="s">
        <v>624</v>
      </c>
      <c r="B133" s="27" t="s">
        <v>777</v>
      </c>
      <c r="C133" s="26" t="n">
        <v>95</v>
      </c>
      <c r="D133" s="9" t="s">
        <v>1020</v>
      </c>
      <c r="E133" s="26" t="s">
        <v>1021</v>
      </c>
      <c r="F133" s="26" t="n">
        <v>62.4</v>
      </c>
      <c r="G133" s="26" t="s">
        <v>1019</v>
      </c>
      <c r="H133" s="6" t="s">
        <v>400</v>
      </c>
    </row>
    <row r="134" customFormat="false" ht="30" hidden="false" customHeight="true" outlineLevel="0" collapsed="false">
      <c r="A134" s="26" t="s">
        <v>624</v>
      </c>
      <c r="B134" s="27" t="s">
        <v>777</v>
      </c>
      <c r="C134" s="26" t="n">
        <v>96</v>
      </c>
      <c r="D134" s="9" t="s">
        <v>1022</v>
      </c>
      <c r="E134" s="26" t="s">
        <v>1023</v>
      </c>
      <c r="F134" s="26" t="n">
        <v>64.3</v>
      </c>
      <c r="G134" s="26" t="s">
        <v>1012</v>
      </c>
      <c r="H134" s="6" t="s">
        <v>390</v>
      </c>
    </row>
    <row r="135" customFormat="false" ht="30" hidden="false" customHeight="true" outlineLevel="0" collapsed="false">
      <c r="A135" s="26" t="s">
        <v>624</v>
      </c>
      <c r="B135" s="27" t="s">
        <v>777</v>
      </c>
      <c r="C135" s="26" t="n">
        <v>97</v>
      </c>
      <c r="D135" s="9" t="s">
        <v>1024</v>
      </c>
      <c r="E135" s="26" t="s">
        <v>1025</v>
      </c>
      <c r="F135" s="26" t="n">
        <v>59.7</v>
      </c>
      <c r="G135" s="26" t="s">
        <v>1012</v>
      </c>
      <c r="H135" s="6" t="s">
        <v>390</v>
      </c>
    </row>
    <row r="136" customFormat="false" ht="30" hidden="false" customHeight="true" outlineLevel="0" collapsed="false">
      <c r="A136" s="26" t="s">
        <v>624</v>
      </c>
      <c r="B136" s="27" t="s">
        <v>777</v>
      </c>
      <c r="C136" s="26" t="n">
        <v>98</v>
      </c>
      <c r="D136" s="9" t="s">
        <v>1026</v>
      </c>
      <c r="E136" s="26" t="s">
        <v>1027</v>
      </c>
      <c r="F136" s="26" t="n">
        <v>63.6</v>
      </c>
      <c r="G136" s="26" t="s">
        <v>1028</v>
      </c>
      <c r="H136" s="6" t="s">
        <v>1029</v>
      </c>
    </row>
    <row r="137" customFormat="false" ht="30" hidden="false" customHeight="true" outlineLevel="0" collapsed="false">
      <c r="A137" s="26" t="s">
        <v>624</v>
      </c>
      <c r="B137" s="27" t="s">
        <v>777</v>
      </c>
      <c r="C137" s="26" t="n">
        <v>99</v>
      </c>
      <c r="D137" s="9" t="s">
        <v>1030</v>
      </c>
      <c r="E137" s="26" t="s">
        <v>1031</v>
      </c>
      <c r="F137" s="26" t="n">
        <v>69.4</v>
      </c>
      <c r="G137" s="26" t="s">
        <v>1009</v>
      </c>
      <c r="H137" s="6" t="s">
        <v>386</v>
      </c>
    </row>
    <row r="138" customFormat="false" ht="30" hidden="false" customHeight="true" outlineLevel="0" collapsed="false">
      <c r="A138" s="26" t="s">
        <v>624</v>
      </c>
      <c r="B138" s="27" t="s">
        <v>777</v>
      </c>
      <c r="C138" s="26" t="n">
        <v>100</v>
      </c>
      <c r="D138" s="9" t="s">
        <v>1032</v>
      </c>
      <c r="E138" s="26" t="s">
        <v>1033</v>
      </c>
      <c r="F138" s="26" t="n">
        <v>51</v>
      </c>
      <c r="G138" s="26" t="s">
        <v>1034</v>
      </c>
      <c r="H138" s="6" t="s">
        <v>434</v>
      </c>
    </row>
    <row r="139" customFormat="false" ht="30" hidden="false" customHeight="true" outlineLevel="0" collapsed="false">
      <c r="A139" s="26" t="s">
        <v>624</v>
      </c>
      <c r="B139" s="27" t="s">
        <v>777</v>
      </c>
      <c r="C139" s="26" t="n">
        <v>101</v>
      </c>
      <c r="D139" s="9" t="s">
        <v>1035</v>
      </c>
      <c r="E139" s="26" t="s">
        <v>1036</v>
      </c>
      <c r="F139" s="26" t="n">
        <v>61.6</v>
      </c>
      <c r="G139" s="26" t="s">
        <v>1034</v>
      </c>
      <c r="H139" s="6" t="s">
        <v>434</v>
      </c>
    </row>
    <row r="140" customFormat="false" ht="30" hidden="false" customHeight="true" outlineLevel="0" collapsed="false">
      <c r="A140" s="26" t="s">
        <v>624</v>
      </c>
      <c r="B140" s="27" t="s">
        <v>777</v>
      </c>
      <c r="C140" s="26" t="n">
        <v>102</v>
      </c>
      <c r="D140" s="9" t="s">
        <v>1037</v>
      </c>
      <c r="E140" s="26" t="s">
        <v>1038</v>
      </c>
      <c r="F140" s="26" t="n">
        <v>64.9</v>
      </c>
      <c r="G140" s="26" t="s">
        <v>1039</v>
      </c>
      <c r="H140" s="6" t="s">
        <v>451</v>
      </c>
    </row>
    <row r="141" customFormat="false" ht="30" hidden="false" customHeight="true" outlineLevel="0" collapsed="false">
      <c r="A141" s="26" t="s">
        <v>627</v>
      </c>
      <c r="B141" s="27" t="s">
        <v>1040</v>
      </c>
      <c r="C141" s="26" t="n">
        <v>1</v>
      </c>
      <c r="D141" s="9" t="s">
        <v>1041</v>
      </c>
      <c r="E141" s="26" t="s">
        <v>1042</v>
      </c>
      <c r="F141" s="26" t="n">
        <v>4.7</v>
      </c>
      <c r="G141" s="26" t="s">
        <v>780</v>
      </c>
      <c r="H141" s="6" t="s">
        <v>16</v>
      </c>
    </row>
    <row r="142" customFormat="false" ht="30" hidden="false" customHeight="true" outlineLevel="0" collapsed="false">
      <c r="A142" s="26" t="s">
        <v>627</v>
      </c>
      <c r="B142" s="27" t="s">
        <v>1040</v>
      </c>
      <c r="C142" s="26" t="n">
        <v>2</v>
      </c>
      <c r="D142" s="9" t="s">
        <v>1043</v>
      </c>
      <c r="E142" s="26" t="s">
        <v>1044</v>
      </c>
      <c r="F142" s="26" t="n">
        <v>96.7</v>
      </c>
      <c r="G142" s="26" t="s">
        <v>705</v>
      </c>
      <c r="H142" s="6" t="s">
        <v>155</v>
      </c>
    </row>
    <row r="143" customFormat="false" ht="30" hidden="false" customHeight="true" outlineLevel="0" collapsed="false">
      <c r="A143" s="26" t="s">
        <v>627</v>
      </c>
      <c r="B143" s="27" t="s">
        <v>1040</v>
      </c>
      <c r="C143" s="26" t="n">
        <v>3</v>
      </c>
      <c r="D143" s="9" t="s">
        <v>1045</v>
      </c>
      <c r="E143" s="26" t="s">
        <v>1046</v>
      </c>
      <c r="F143" s="26" t="n">
        <v>36</v>
      </c>
      <c r="G143" s="26" t="s">
        <v>793</v>
      </c>
      <c r="H143" s="6" t="s">
        <v>35</v>
      </c>
    </row>
    <row r="144" customFormat="false" ht="16.5" hidden="false" customHeight="true" outlineLevel="0" collapsed="false">
      <c r="A144" s="26" t="s">
        <v>627</v>
      </c>
      <c r="B144" s="27" t="s">
        <v>1040</v>
      </c>
      <c r="C144" s="26" t="n">
        <v>4</v>
      </c>
      <c r="D144" s="9" t="s">
        <v>1047</v>
      </c>
      <c r="E144" s="26" t="s">
        <v>1048</v>
      </c>
      <c r="F144" s="26" t="n">
        <v>6.3</v>
      </c>
      <c r="G144" s="26" t="s">
        <v>672</v>
      </c>
      <c r="H144" s="6" t="s">
        <v>43</v>
      </c>
    </row>
    <row r="145" customFormat="false" ht="16.5" hidden="false" customHeight="true" outlineLevel="0" collapsed="false">
      <c r="A145" s="26" t="s">
        <v>627</v>
      </c>
      <c r="B145" s="27" t="s">
        <v>1040</v>
      </c>
      <c r="C145" s="26" t="n">
        <v>5</v>
      </c>
      <c r="D145" s="9" t="s">
        <v>1049</v>
      </c>
      <c r="E145" s="26" t="s">
        <v>1050</v>
      </c>
      <c r="F145" s="26" t="n">
        <v>48.5</v>
      </c>
      <c r="G145" s="26" t="s">
        <v>675</v>
      </c>
      <c r="H145" s="6" t="s">
        <v>50</v>
      </c>
    </row>
    <row r="146" customFormat="false" ht="30" hidden="false" customHeight="true" outlineLevel="0" collapsed="false">
      <c r="A146" s="26" t="s">
        <v>627</v>
      </c>
      <c r="B146" s="27" t="s">
        <v>1040</v>
      </c>
      <c r="C146" s="26" t="n">
        <v>6</v>
      </c>
      <c r="D146" s="9" t="s">
        <v>1051</v>
      </c>
      <c r="E146" s="26" t="s">
        <v>1052</v>
      </c>
      <c r="F146" s="26" t="n">
        <v>20.8</v>
      </c>
      <c r="G146" s="26" t="s">
        <v>1053</v>
      </c>
      <c r="H146" s="6" t="s">
        <v>57</v>
      </c>
    </row>
    <row r="147" customFormat="false" ht="16.5" hidden="false" customHeight="true" outlineLevel="0" collapsed="false">
      <c r="A147" s="26" t="s">
        <v>627</v>
      </c>
      <c r="B147" s="27" t="s">
        <v>1040</v>
      </c>
      <c r="C147" s="26" t="n">
        <v>7</v>
      </c>
      <c r="D147" s="9" t="s">
        <v>1054</v>
      </c>
      <c r="E147" s="26" t="s">
        <v>1055</v>
      </c>
      <c r="F147" s="26" t="n">
        <v>42.9</v>
      </c>
      <c r="G147" s="26" t="s">
        <v>675</v>
      </c>
      <c r="H147" s="6" t="s">
        <v>50</v>
      </c>
    </row>
    <row r="148" customFormat="false" ht="16.5" hidden="false" customHeight="true" outlineLevel="0" collapsed="false">
      <c r="A148" s="26" t="s">
        <v>627</v>
      </c>
      <c r="B148" s="27" t="s">
        <v>1040</v>
      </c>
      <c r="C148" s="26" t="n">
        <v>8</v>
      </c>
      <c r="D148" s="9" t="s">
        <v>1056</v>
      </c>
      <c r="E148" s="26" t="s">
        <v>1057</v>
      </c>
      <c r="F148" s="26" t="n">
        <v>61.2</v>
      </c>
      <c r="G148" s="26" t="s">
        <v>818</v>
      </c>
      <c r="H148" s="6" t="s">
        <v>118</v>
      </c>
    </row>
    <row r="149" customFormat="false" ht="30" hidden="false" customHeight="true" outlineLevel="0" collapsed="false">
      <c r="A149" s="26" t="s">
        <v>627</v>
      </c>
      <c r="B149" s="27" t="s">
        <v>1040</v>
      </c>
      <c r="C149" s="26" t="n">
        <v>9</v>
      </c>
      <c r="D149" s="9" t="s">
        <v>1058</v>
      </c>
      <c r="E149" s="26" t="s">
        <v>745</v>
      </c>
      <c r="F149" s="26" t="n">
        <v>35.4</v>
      </c>
      <c r="G149" s="26" t="s">
        <v>721</v>
      </c>
      <c r="H149" s="6" t="s">
        <v>166</v>
      </c>
    </row>
    <row r="150" customFormat="false" ht="16.5" hidden="false" customHeight="true" outlineLevel="0" collapsed="false">
      <c r="A150" s="26" t="s">
        <v>627</v>
      </c>
      <c r="B150" s="27" t="s">
        <v>1040</v>
      </c>
      <c r="C150" s="26" t="n">
        <v>10</v>
      </c>
      <c r="D150" s="9" t="s">
        <v>1059</v>
      </c>
      <c r="E150" s="26" t="s">
        <v>1060</v>
      </c>
      <c r="F150" s="26" t="n">
        <v>48.8</v>
      </c>
      <c r="G150" s="26" t="s">
        <v>1061</v>
      </c>
      <c r="H150" s="6" t="s">
        <v>1062</v>
      </c>
    </row>
    <row r="151" customFormat="false" ht="30" hidden="false" customHeight="true" outlineLevel="0" collapsed="false">
      <c r="A151" s="26" t="s">
        <v>627</v>
      </c>
      <c r="B151" s="27" t="s">
        <v>1040</v>
      </c>
      <c r="C151" s="26" t="n">
        <v>11</v>
      </c>
      <c r="D151" s="9" t="s">
        <v>1063</v>
      </c>
      <c r="E151" s="26" t="s">
        <v>1064</v>
      </c>
      <c r="F151" s="26" t="n">
        <v>50.4</v>
      </c>
      <c r="G151" s="26" t="s">
        <v>1065</v>
      </c>
      <c r="H151" s="6" t="s">
        <v>1066</v>
      </c>
    </row>
    <row r="152" customFormat="false" ht="16.5" hidden="false" customHeight="true" outlineLevel="0" collapsed="false">
      <c r="A152" s="26" t="s">
        <v>627</v>
      </c>
      <c r="B152" s="27" t="s">
        <v>1040</v>
      </c>
      <c r="C152" s="26" t="n">
        <v>12</v>
      </c>
      <c r="D152" s="9" t="s">
        <v>1067</v>
      </c>
      <c r="E152" s="26" t="s">
        <v>1068</v>
      </c>
      <c r="F152" s="26" t="n">
        <v>52</v>
      </c>
      <c r="G152" s="26" t="s">
        <v>769</v>
      </c>
      <c r="H152" s="6" t="s">
        <v>317</v>
      </c>
    </row>
    <row r="153" customFormat="false" ht="30" hidden="false" customHeight="true" outlineLevel="0" collapsed="false">
      <c r="A153" s="26" t="s">
        <v>627</v>
      </c>
      <c r="B153" s="27" t="s">
        <v>1040</v>
      </c>
      <c r="C153" s="26" t="n">
        <v>13</v>
      </c>
      <c r="D153" s="9" t="s">
        <v>1069</v>
      </c>
      <c r="E153" s="26" t="s">
        <v>1070</v>
      </c>
      <c r="F153" s="26" t="n">
        <v>43.2</v>
      </c>
      <c r="G153" s="26" t="s">
        <v>1071</v>
      </c>
      <c r="H153" s="6" t="s">
        <v>1072</v>
      </c>
    </row>
    <row r="154" customFormat="false" ht="30" hidden="false" customHeight="true" outlineLevel="0" collapsed="false">
      <c r="A154" s="26" t="s">
        <v>627</v>
      </c>
      <c r="B154" s="27" t="s">
        <v>1040</v>
      </c>
      <c r="C154" s="26" t="n">
        <v>14</v>
      </c>
      <c r="D154" s="9" t="s">
        <v>1073</v>
      </c>
      <c r="E154" s="26" t="s">
        <v>1074</v>
      </c>
      <c r="F154" s="26" t="n">
        <v>28.4</v>
      </c>
      <c r="G154" s="26" t="s">
        <v>1075</v>
      </c>
      <c r="H154" s="6" t="s">
        <v>258</v>
      </c>
    </row>
    <row r="155" customFormat="false" ht="16.5" hidden="false" customHeight="true" outlineLevel="0" collapsed="false">
      <c r="A155" s="26" t="s">
        <v>627</v>
      </c>
      <c r="B155" s="27" t="s">
        <v>1040</v>
      </c>
      <c r="C155" s="26" t="n">
        <v>15</v>
      </c>
      <c r="D155" s="9" t="s">
        <v>1076</v>
      </c>
      <c r="E155" s="26" t="s">
        <v>1077</v>
      </c>
      <c r="F155" s="26" t="n">
        <v>44.9</v>
      </c>
      <c r="G155" s="26" t="s">
        <v>743</v>
      </c>
      <c r="H155" s="6" t="s">
        <v>217</v>
      </c>
    </row>
    <row r="156" customFormat="false" ht="30" hidden="false" customHeight="true" outlineLevel="0" collapsed="false">
      <c r="A156" s="26" t="s">
        <v>627</v>
      </c>
      <c r="B156" s="27" t="s">
        <v>1040</v>
      </c>
      <c r="C156" s="26" t="n">
        <v>16</v>
      </c>
      <c r="D156" s="9" t="s">
        <v>1078</v>
      </c>
      <c r="E156" s="26" t="s">
        <v>1079</v>
      </c>
      <c r="F156" s="26" t="n">
        <v>28.4</v>
      </c>
      <c r="G156" s="26" t="s">
        <v>743</v>
      </c>
      <c r="H156" s="6" t="s">
        <v>217</v>
      </c>
    </row>
    <row r="157" customFormat="false" ht="30" hidden="false" customHeight="true" outlineLevel="0" collapsed="false">
      <c r="A157" s="26" t="s">
        <v>627</v>
      </c>
      <c r="B157" s="27" t="s">
        <v>1040</v>
      </c>
      <c r="C157" s="26" t="n">
        <v>17</v>
      </c>
      <c r="D157" s="9" t="s">
        <v>1080</v>
      </c>
      <c r="E157" s="26" t="s">
        <v>1081</v>
      </c>
      <c r="F157" s="26" t="n">
        <v>31.5</v>
      </c>
      <c r="G157" s="26" t="s">
        <v>943</v>
      </c>
      <c r="H157" s="6" t="s">
        <v>944</v>
      </c>
    </row>
    <row r="158" customFormat="false" ht="16.5" hidden="false" customHeight="true" outlineLevel="0" collapsed="false">
      <c r="A158" s="26" t="s">
        <v>627</v>
      </c>
      <c r="B158" s="27" t="s">
        <v>1040</v>
      </c>
      <c r="C158" s="26" t="n">
        <v>18</v>
      </c>
      <c r="D158" s="9" t="s">
        <v>1082</v>
      </c>
      <c r="E158" s="26" t="s">
        <v>1083</v>
      </c>
      <c r="F158" s="26" t="n">
        <v>38</v>
      </c>
      <c r="G158" s="26" t="s">
        <v>1084</v>
      </c>
      <c r="H158" s="6" t="s">
        <v>506</v>
      </c>
    </row>
    <row r="159" customFormat="false" ht="16.5" hidden="false" customHeight="true" outlineLevel="0" collapsed="false">
      <c r="A159" s="26" t="s">
        <v>627</v>
      </c>
      <c r="B159" s="27" t="s">
        <v>1040</v>
      </c>
      <c r="C159" s="26" t="n">
        <v>19</v>
      </c>
      <c r="D159" s="9" t="s">
        <v>1085</v>
      </c>
      <c r="E159" s="26" t="s">
        <v>1086</v>
      </c>
      <c r="F159" s="26" t="n">
        <v>70.7</v>
      </c>
      <c r="G159" s="26" t="s">
        <v>940</v>
      </c>
      <c r="H159" s="6" t="s">
        <v>509</v>
      </c>
    </row>
    <row r="160" customFormat="false" ht="16.5" hidden="false" customHeight="true" outlineLevel="0" collapsed="false">
      <c r="A160" s="26" t="s">
        <v>627</v>
      </c>
      <c r="B160" s="27" t="s">
        <v>1040</v>
      </c>
      <c r="C160" s="26" t="n">
        <v>20</v>
      </c>
      <c r="D160" s="9" t="s">
        <v>1087</v>
      </c>
      <c r="E160" s="26" t="s">
        <v>1088</v>
      </c>
      <c r="F160" s="26" t="n">
        <v>74.7</v>
      </c>
      <c r="G160" s="26" t="s">
        <v>1089</v>
      </c>
      <c r="H160" s="6" t="s">
        <v>1090</v>
      </c>
    </row>
    <row r="161" customFormat="false" ht="16.5" hidden="false" customHeight="true" outlineLevel="0" collapsed="false">
      <c r="A161" s="26" t="s">
        <v>627</v>
      </c>
      <c r="B161" s="27" t="s">
        <v>1040</v>
      </c>
      <c r="C161" s="26" t="n">
        <v>21</v>
      </c>
      <c r="D161" s="9" t="s">
        <v>1091</v>
      </c>
      <c r="E161" s="26" t="s">
        <v>1092</v>
      </c>
      <c r="F161" s="26" t="n">
        <v>57.1</v>
      </c>
      <c r="G161" s="26" t="s">
        <v>681</v>
      </c>
      <c r="H161" s="6" t="s">
        <v>71</v>
      </c>
    </row>
    <row r="162" customFormat="false" ht="30" hidden="false" customHeight="true" outlineLevel="0" collapsed="false">
      <c r="A162" s="26" t="s">
        <v>627</v>
      </c>
      <c r="B162" s="27" t="s">
        <v>1040</v>
      </c>
      <c r="C162" s="26" t="n">
        <v>22</v>
      </c>
      <c r="D162" s="9" t="s">
        <v>1093</v>
      </c>
      <c r="E162" s="26" t="s">
        <v>1094</v>
      </c>
      <c r="F162" s="26" t="n">
        <v>52.1</v>
      </c>
      <c r="G162" s="26" t="s">
        <v>1095</v>
      </c>
      <c r="H162" s="6" t="s">
        <v>1096</v>
      </c>
    </row>
    <row r="163" customFormat="false" ht="16.5" hidden="false" customHeight="true" outlineLevel="0" collapsed="false">
      <c r="A163" s="26" t="s">
        <v>627</v>
      </c>
      <c r="B163" s="27" t="s">
        <v>1040</v>
      </c>
      <c r="C163" s="26" t="n">
        <v>23</v>
      </c>
      <c r="D163" s="9" t="s">
        <v>1097</v>
      </c>
      <c r="E163" s="26" t="s">
        <v>1098</v>
      </c>
      <c r="F163" s="26" t="n">
        <v>41.4</v>
      </c>
      <c r="G163" s="26" t="s">
        <v>971</v>
      </c>
      <c r="H163" s="6" t="s">
        <v>330</v>
      </c>
    </row>
    <row r="164" customFormat="false" ht="30" hidden="false" customHeight="true" outlineLevel="0" collapsed="false">
      <c r="A164" s="26" t="s">
        <v>627</v>
      </c>
      <c r="B164" s="27" t="s">
        <v>1040</v>
      </c>
      <c r="C164" s="26" t="n">
        <v>24</v>
      </c>
      <c r="D164" s="9" t="s">
        <v>1099</v>
      </c>
      <c r="E164" s="26" t="s">
        <v>1100</v>
      </c>
      <c r="F164" s="26" t="n">
        <v>61.1</v>
      </c>
      <c r="G164" s="26" t="s">
        <v>1101</v>
      </c>
      <c r="H164" s="6" t="s">
        <v>1102</v>
      </c>
    </row>
    <row r="165" customFormat="false" ht="30" hidden="false" customHeight="true" outlineLevel="0" collapsed="false">
      <c r="A165" s="26" t="s">
        <v>627</v>
      </c>
      <c r="B165" s="27" t="s">
        <v>1040</v>
      </c>
      <c r="C165" s="26" t="n">
        <v>25</v>
      </c>
      <c r="D165" s="9" t="s">
        <v>1103</v>
      </c>
      <c r="E165" s="26" t="s">
        <v>1104</v>
      </c>
      <c r="F165" s="26" t="n">
        <v>72</v>
      </c>
      <c r="G165" s="26" t="s">
        <v>1105</v>
      </c>
      <c r="H165" s="6" t="s">
        <v>1106</v>
      </c>
    </row>
    <row r="166" customFormat="false" ht="16.5" hidden="false" customHeight="true" outlineLevel="0" collapsed="false">
      <c r="A166" s="26" t="s">
        <v>627</v>
      </c>
      <c r="B166" s="27" t="s">
        <v>1040</v>
      </c>
      <c r="C166" s="26" t="n">
        <v>26</v>
      </c>
      <c r="D166" s="9" t="s">
        <v>1107</v>
      </c>
      <c r="E166" s="26" t="s">
        <v>1108</v>
      </c>
      <c r="F166" s="26" t="n">
        <v>58.2</v>
      </c>
      <c r="G166" s="26" t="s">
        <v>990</v>
      </c>
      <c r="H166" s="6" t="s">
        <v>351</v>
      </c>
    </row>
    <row r="167" customFormat="false" ht="16.5" hidden="false" customHeight="true" outlineLevel="0" collapsed="false">
      <c r="A167" s="26" t="s">
        <v>627</v>
      </c>
      <c r="B167" s="27" t="s">
        <v>1040</v>
      </c>
      <c r="C167" s="26" t="n">
        <v>27</v>
      </c>
      <c r="D167" s="9" t="s">
        <v>1109</v>
      </c>
      <c r="E167" s="26" t="s">
        <v>1110</v>
      </c>
      <c r="F167" s="26" t="n">
        <v>37.4</v>
      </c>
      <c r="G167" s="26" t="s">
        <v>1111</v>
      </c>
      <c r="H167" s="6" t="s">
        <v>355</v>
      </c>
    </row>
    <row r="168" customFormat="false" ht="16.5" hidden="false" customHeight="true" outlineLevel="0" collapsed="false">
      <c r="A168" s="26" t="s">
        <v>627</v>
      </c>
      <c r="B168" s="27" t="s">
        <v>1040</v>
      </c>
      <c r="C168" s="26" t="n">
        <v>28</v>
      </c>
      <c r="D168" s="9" t="s">
        <v>1112</v>
      </c>
      <c r="E168" s="26" t="s">
        <v>1113</v>
      </c>
      <c r="F168" s="26" t="n">
        <v>21.4</v>
      </c>
      <c r="G168" s="26" t="s">
        <v>987</v>
      </c>
      <c r="H168" s="6" t="s">
        <v>346</v>
      </c>
    </row>
    <row r="169" customFormat="false" ht="16.5" hidden="false" customHeight="true" outlineLevel="0" collapsed="false">
      <c r="A169" s="26" t="s">
        <v>627</v>
      </c>
      <c r="B169" s="27" t="s">
        <v>1040</v>
      </c>
      <c r="C169" s="26" t="n">
        <v>29</v>
      </c>
      <c r="D169" s="9" t="s">
        <v>1114</v>
      </c>
      <c r="E169" s="26" t="s">
        <v>1115</v>
      </c>
      <c r="F169" s="26" t="n">
        <v>75.2</v>
      </c>
      <c r="G169" s="26" t="s">
        <v>1004</v>
      </c>
      <c r="H169" s="6" t="s">
        <v>395</v>
      </c>
    </row>
    <row r="170" customFormat="false" ht="30" hidden="false" customHeight="true" outlineLevel="0" collapsed="false">
      <c r="A170" s="26" t="s">
        <v>627</v>
      </c>
      <c r="B170" s="27" t="s">
        <v>1040</v>
      </c>
      <c r="C170" s="26" t="n">
        <v>30</v>
      </c>
      <c r="D170" s="9" t="s">
        <v>1116</v>
      </c>
      <c r="E170" s="26" t="s">
        <v>1117</v>
      </c>
      <c r="F170" s="26" t="n">
        <v>47.8</v>
      </c>
      <c r="G170" s="26" t="s">
        <v>1118</v>
      </c>
      <c r="H170" s="6" t="s">
        <v>1119</v>
      </c>
    </row>
    <row r="171" customFormat="false" ht="30" hidden="false" customHeight="true" outlineLevel="0" collapsed="false">
      <c r="A171" s="26" t="s">
        <v>627</v>
      </c>
      <c r="B171" s="27" t="s">
        <v>1040</v>
      </c>
      <c r="C171" s="26" t="n">
        <v>31</v>
      </c>
      <c r="D171" s="9" t="s">
        <v>1120</v>
      </c>
      <c r="E171" s="26" t="s">
        <v>1121</v>
      </c>
      <c r="F171" s="26" t="n">
        <v>68.3</v>
      </c>
      <c r="G171" s="26" t="s">
        <v>1122</v>
      </c>
      <c r="H171" s="6" t="s">
        <v>1123</v>
      </c>
    </row>
    <row r="172" customFormat="false" ht="30" hidden="false" customHeight="true" outlineLevel="0" collapsed="false">
      <c r="A172" s="26" t="s">
        <v>627</v>
      </c>
      <c r="B172" s="27" t="s">
        <v>1040</v>
      </c>
      <c r="C172" s="26" t="n">
        <v>32</v>
      </c>
      <c r="D172" s="9" t="s">
        <v>1124</v>
      </c>
      <c r="E172" s="26" t="s">
        <v>1125</v>
      </c>
      <c r="F172" s="26" t="n">
        <v>45</v>
      </c>
      <c r="G172" s="26" t="s">
        <v>1126</v>
      </c>
      <c r="H172" s="6" t="s">
        <v>441</v>
      </c>
    </row>
    <row r="173" customFormat="false" ht="30" hidden="false" customHeight="true" outlineLevel="0" collapsed="false">
      <c r="A173" s="26" t="s">
        <v>627</v>
      </c>
      <c r="B173" s="27" t="s">
        <v>1040</v>
      </c>
      <c r="C173" s="26" t="n">
        <v>33</v>
      </c>
      <c r="D173" s="9" t="s">
        <v>1127</v>
      </c>
      <c r="E173" s="26" t="s">
        <v>1128</v>
      </c>
      <c r="F173" s="26" t="n">
        <v>46.8</v>
      </c>
      <c r="G173" s="26" t="s">
        <v>1129</v>
      </c>
      <c r="H173" s="6" t="s">
        <v>1130</v>
      </c>
    </row>
    <row r="174" customFormat="false" ht="30" hidden="false" customHeight="true" outlineLevel="0" collapsed="false">
      <c r="A174" s="26" t="s">
        <v>627</v>
      </c>
      <c r="B174" s="27" t="s">
        <v>1040</v>
      </c>
      <c r="C174" s="26" t="n">
        <v>34</v>
      </c>
      <c r="D174" s="9" t="s">
        <v>1131</v>
      </c>
      <c r="E174" s="26" t="s">
        <v>1132</v>
      </c>
      <c r="F174" s="26" t="n">
        <v>41.9</v>
      </c>
      <c r="G174" s="26" t="s">
        <v>1133</v>
      </c>
      <c r="H174" s="6" t="s">
        <v>1134</v>
      </c>
    </row>
    <row r="175" customFormat="false" ht="30" hidden="false" customHeight="true" outlineLevel="0" collapsed="false">
      <c r="A175" s="26" t="s">
        <v>627</v>
      </c>
      <c r="B175" s="27" t="s">
        <v>1040</v>
      </c>
      <c r="C175" s="26" t="n">
        <v>35</v>
      </c>
      <c r="D175" s="9" t="s">
        <v>1135</v>
      </c>
      <c r="E175" s="26" t="s">
        <v>1136</v>
      </c>
      <c r="F175" s="26" t="n">
        <v>76.9</v>
      </c>
      <c r="G175" s="26" t="s">
        <v>1137</v>
      </c>
      <c r="H175" s="6" t="s">
        <v>488</v>
      </c>
    </row>
    <row r="176" customFormat="false" ht="30" hidden="false" customHeight="true" outlineLevel="0" collapsed="false">
      <c r="A176" s="26" t="s">
        <v>627</v>
      </c>
      <c r="B176" s="27" t="s">
        <v>1040</v>
      </c>
      <c r="C176" s="26" t="n">
        <v>36</v>
      </c>
      <c r="D176" s="9" t="s">
        <v>1138</v>
      </c>
      <c r="E176" s="26" t="s">
        <v>1139</v>
      </c>
      <c r="F176" s="26" t="n">
        <v>66</v>
      </c>
      <c r="G176" s="26" t="s">
        <v>1140</v>
      </c>
      <c r="H176" s="6" t="s">
        <v>1141</v>
      </c>
    </row>
    <row r="177" customFormat="false" ht="30" hidden="false" customHeight="true" outlineLevel="0" collapsed="false">
      <c r="A177" s="26" t="s">
        <v>627</v>
      </c>
      <c r="B177" s="27" t="s">
        <v>1040</v>
      </c>
      <c r="C177" s="26" t="n">
        <v>37</v>
      </c>
      <c r="D177" s="9" t="s">
        <v>1142</v>
      </c>
      <c r="E177" s="26" t="s">
        <v>1143</v>
      </c>
      <c r="F177" s="26" t="n">
        <v>39.2</v>
      </c>
      <c r="G177" s="26" t="s">
        <v>1144</v>
      </c>
      <c r="H177" s="6" t="s">
        <v>1145</v>
      </c>
    </row>
    <row r="178" customFormat="false" ht="30" hidden="false" customHeight="true" outlineLevel="0" collapsed="false">
      <c r="A178" s="26" t="s">
        <v>627</v>
      </c>
      <c r="B178" s="27" t="s">
        <v>1040</v>
      </c>
      <c r="C178" s="26" t="n">
        <v>38</v>
      </c>
      <c r="D178" s="9" t="s">
        <v>1146</v>
      </c>
      <c r="E178" s="26" t="s">
        <v>1147</v>
      </c>
      <c r="F178" s="26" t="n">
        <v>23.2</v>
      </c>
      <c r="G178" s="26" t="s">
        <v>1137</v>
      </c>
      <c r="H178" s="6" t="s">
        <v>488</v>
      </c>
    </row>
    <row r="179" customFormat="false" ht="16.5" hidden="false" customHeight="true" outlineLevel="0" collapsed="false">
      <c r="A179" s="26" t="s">
        <v>627</v>
      </c>
      <c r="B179" s="27" t="s">
        <v>1040</v>
      </c>
      <c r="C179" s="26" t="n">
        <v>39</v>
      </c>
      <c r="D179" s="9" t="s">
        <v>1148</v>
      </c>
      <c r="E179" s="26" t="s">
        <v>1149</v>
      </c>
      <c r="F179" s="26" t="n">
        <v>22.7</v>
      </c>
      <c r="G179" s="26" t="s">
        <v>1150</v>
      </c>
      <c r="H179" s="6" t="s">
        <v>1151</v>
      </c>
    </row>
    <row r="180" customFormat="false" ht="16.5" hidden="false" customHeight="true" outlineLevel="0" collapsed="false">
      <c r="A180" s="26" t="s">
        <v>627</v>
      </c>
      <c r="B180" s="27" t="s">
        <v>1040</v>
      </c>
      <c r="C180" s="26" t="n">
        <v>40</v>
      </c>
      <c r="D180" s="9" t="s">
        <v>1152</v>
      </c>
      <c r="E180" s="26" t="s">
        <v>1153</v>
      </c>
      <c r="F180" s="26" t="n">
        <v>27.6</v>
      </c>
      <c r="G180" s="26" t="s">
        <v>1154</v>
      </c>
      <c r="H180" s="6" t="s">
        <v>594</v>
      </c>
    </row>
    <row r="181" customFormat="false" ht="16.5" hidden="false" customHeight="true" outlineLevel="0" collapsed="false">
      <c r="A181" s="26" t="s">
        <v>627</v>
      </c>
      <c r="B181" s="27" t="s">
        <v>1040</v>
      </c>
      <c r="C181" s="26" t="n">
        <v>41</v>
      </c>
      <c r="D181" s="9" t="s">
        <v>1155</v>
      </c>
      <c r="E181" s="26" t="s">
        <v>1156</v>
      </c>
      <c r="F181" s="26" t="n">
        <v>38.3</v>
      </c>
      <c r="G181" s="26" t="s">
        <v>1157</v>
      </c>
      <c r="H181" s="6" t="s">
        <v>562</v>
      </c>
    </row>
    <row r="182" customFormat="false" ht="16.5" hidden="false" customHeight="true" outlineLevel="0" collapsed="false">
      <c r="A182" s="26" t="s">
        <v>627</v>
      </c>
      <c r="B182" s="27" t="s">
        <v>1040</v>
      </c>
      <c r="C182" s="26" t="n">
        <v>42</v>
      </c>
      <c r="D182" s="9" t="s">
        <v>1158</v>
      </c>
      <c r="E182" s="26" t="s">
        <v>1159</v>
      </c>
      <c r="F182" s="26" t="n">
        <v>10.5</v>
      </c>
      <c r="G182" s="26" t="s">
        <v>1160</v>
      </c>
      <c r="H182" s="6" t="s">
        <v>279</v>
      </c>
    </row>
    <row r="183" customFormat="false" ht="16.5" hidden="false" customHeight="true" outlineLevel="0" collapsed="false">
      <c r="A183" s="26" t="s">
        <v>627</v>
      </c>
      <c r="B183" s="27" t="s">
        <v>1040</v>
      </c>
      <c r="C183" s="26" t="n">
        <v>43</v>
      </c>
      <c r="D183" s="9" t="s">
        <v>1161</v>
      </c>
      <c r="E183" s="26" t="s">
        <v>1162</v>
      </c>
      <c r="F183" s="26" t="n">
        <v>23.1</v>
      </c>
      <c r="G183" s="26" t="s">
        <v>1163</v>
      </c>
      <c r="H183" s="6" t="s">
        <v>556</v>
      </c>
    </row>
    <row r="184" customFormat="false" ht="16.5" hidden="false" customHeight="true" outlineLevel="0" collapsed="false">
      <c r="A184" s="26" t="s">
        <v>627</v>
      </c>
      <c r="B184" s="27" t="s">
        <v>1040</v>
      </c>
      <c r="C184" s="26" t="n">
        <v>44</v>
      </c>
      <c r="D184" s="9" t="s">
        <v>1164</v>
      </c>
      <c r="E184" s="26" t="s">
        <v>1165</v>
      </c>
      <c r="F184" s="26" t="n">
        <v>8.8</v>
      </c>
      <c r="G184" s="26" t="s">
        <v>1166</v>
      </c>
      <c r="H184" s="6" t="s">
        <v>559</v>
      </c>
    </row>
    <row r="185" customFormat="false" ht="16.5" hidden="false" customHeight="true" outlineLevel="0" collapsed="false">
      <c r="A185" s="26" t="s">
        <v>627</v>
      </c>
      <c r="B185" s="27" t="s">
        <v>1040</v>
      </c>
      <c r="C185" s="26" t="n">
        <v>45</v>
      </c>
      <c r="D185" s="9" t="s">
        <v>1167</v>
      </c>
      <c r="E185" s="26" t="s">
        <v>1168</v>
      </c>
      <c r="F185" s="26" t="n">
        <v>18.7</v>
      </c>
      <c r="G185" s="26" t="s">
        <v>1166</v>
      </c>
      <c r="H185" s="6" t="s">
        <v>559</v>
      </c>
    </row>
    <row r="186" customFormat="false" ht="16.5" hidden="false" customHeight="true" outlineLevel="0" collapsed="false">
      <c r="A186" s="26" t="s">
        <v>627</v>
      </c>
      <c r="B186" s="27" t="s">
        <v>1040</v>
      </c>
      <c r="C186" s="26" t="n">
        <v>46</v>
      </c>
      <c r="D186" s="9" t="s">
        <v>1169</v>
      </c>
      <c r="E186" s="26" t="s">
        <v>1170</v>
      </c>
      <c r="F186" s="26" t="n">
        <v>35.8</v>
      </c>
      <c r="G186" s="26" t="s">
        <v>1171</v>
      </c>
      <c r="H186" s="6" t="s">
        <v>276</v>
      </c>
    </row>
    <row r="187" customFormat="false" ht="16.5" hidden="false" customHeight="true" outlineLevel="0" collapsed="false">
      <c r="A187" s="26" t="s">
        <v>627</v>
      </c>
      <c r="B187" s="27" t="s">
        <v>1040</v>
      </c>
      <c r="C187" s="26" t="n">
        <v>47</v>
      </c>
      <c r="D187" s="9" t="s">
        <v>1172</v>
      </c>
      <c r="E187" s="26" t="s">
        <v>1173</v>
      </c>
      <c r="F187" s="26" t="n">
        <v>18.5</v>
      </c>
      <c r="G187" s="26" t="s">
        <v>1174</v>
      </c>
      <c r="H187" s="6" t="s">
        <v>553</v>
      </c>
    </row>
    <row r="188" customFormat="false" ht="16.5" hidden="false" customHeight="true" outlineLevel="0" collapsed="false">
      <c r="A188" s="26" t="s">
        <v>627</v>
      </c>
      <c r="B188" s="27" t="s">
        <v>1040</v>
      </c>
      <c r="C188" s="26" t="n">
        <v>48</v>
      </c>
      <c r="D188" s="9" t="s">
        <v>1175</v>
      </c>
      <c r="E188" s="26" t="s">
        <v>1176</v>
      </c>
      <c r="F188" s="26" t="n">
        <v>73.9</v>
      </c>
      <c r="G188" s="26" t="s">
        <v>1012</v>
      </c>
      <c r="H188" s="6" t="s">
        <v>390</v>
      </c>
    </row>
    <row r="189" customFormat="false" ht="16.5" hidden="false" customHeight="true" outlineLevel="0" collapsed="false">
      <c r="A189" s="26" t="s">
        <v>627</v>
      </c>
      <c r="B189" s="27" t="s">
        <v>1040</v>
      </c>
      <c r="C189" s="26" t="n">
        <v>49</v>
      </c>
      <c r="D189" s="9" t="s">
        <v>1177</v>
      </c>
      <c r="E189" s="26" t="s">
        <v>1178</v>
      </c>
      <c r="F189" s="26" t="n">
        <v>65</v>
      </c>
      <c r="G189" s="26" t="s">
        <v>1179</v>
      </c>
      <c r="H189" s="6" t="s">
        <v>411</v>
      </c>
    </row>
    <row r="190" customFormat="false" ht="16.5" hidden="false" customHeight="true" outlineLevel="0" collapsed="false">
      <c r="A190" s="26" t="s">
        <v>627</v>
      </c>
      <c r="B190" s="27" t="s">
        <v>1040</v>
      </c>
      <c r="C190" s="26" t="n">
        <v>50</v>
      </c>
      <c r="D190" s="9" t="s">
        <v>1180</v>
      </c>
      <c r="E190" s="26" t="s">
        <v>1181</v>
      </c>
      <c r="F190" s="26" t="n">
        <v>51.5</v>
      </c>
      <c r="G190" s="26" t="s">
        <v>1182</v>
      </c>
      <c r="H190" s="6" t="s">
        <v>415</v>
      </c>
    </row>
    <row r="191" customFormat="false" ht="30" hidden="false" customHeight="true" outlineLevel="0" collapsed="false">
      <c r="A191" s="26" t="s">
        <v>627</v>
      </c>
      <c r="B191" s="27" t="s">
        <v>1040</v>
      </c>
      <c r="C191" s="26" t="n">
        <v>51</v>
      </c>
      <c r="D191" s="9" t="s">
        <v>1183</v>
      </c>
      <c r="E191" s="26" t="s">
        <v>1184</v>
      </c>
      <c r="F191" s="26" t="n">
        <v>47.4</v>
      </c>
      <c r="G191" s="26" t="s">
        <v>1182</v>
      </c>
      <c r="H191" s="6" t="s">
        <v>415</v>
      </c>
    </row>
    <row r="192" customFormat="false" ht="16.5" hidden="false" customHeight="true" outlineLevel="0" collapsed="false">
      <c r="A192" s="26" t="s">
        <v>627</v>
      </c>
      <c r="B192" s="27" t="s">
        <v>1040</v>
      </c>
      <c r="C192" s="26" t="n">
        <v>52</v>
      </c>
      <c r="D192" s="9" t="s">
        <v>1185</v>
      </c>
      <c r="E192" s="26" t="s">
        <v>1186</v>
      </c>
      <c r="F192" s="26" t="n">
        <v>51</v>
      </c>
      <c r="G192" s="26" t="s">
        <v>1182</v>
      </c>
      <c r="H192" s="6" t="s">
        <v>415</v>
      </c>
    </row>
    <row r="193" customFormat="false" ht="30" hidden="false" customHeight="true" outlineLevel="0" collapsed="false">
      <c r="A193" s="26" t="s">
        <v>630</v>
      </c>
      <c r="B193" s="27" t="s">
        <v>1187</v>
      </c>
      <c r="C193" s="26" t="n">
        <v>1</v>
      </c>
      <c r="D193" s="9" t="s">
        <v>1188</v>
      </c>
      <c r="E193" s="26" t="s">
        <v>1189</v>
      </c>
      <c r="F193" s="26" t="n">
        <v>59.1</v>
      </c>
      <c r="G193" s="26" t="s">
        <v>1190</v>
      </c>
      <c r="H193" s="6" t="s">
        <v>1191</v>
      </c>
    </row>
    <row r="194" customFormat="false" ht="30" hidden="false" customHeight="true" outlineLevel="0" collapsed="false">
      <c r="A194" s="26" t="s">
        <v>630</v>
      </c>
      <c r="B194" s="27" t="s">
        <v>1187</v>
      </c>
      <c r="C194" s="26" t="n">
        <v>2</v>
      </c>
      <c r="D194" s="9" t="s">
        <v>1192</v>
      </c>
      <c r="E194" s="26" t="s">
        <v>1193</v>
      </c>
      <c r="F194" s="26" t="n">
        <v>41.6</v>
      </c>
      <c r="G194" s="26" t="s">
        <v>1194</v>
      </c>
      <c r="H194" s="6" t="s">
        <v>1195</v>
      </c>
    </row>
    <row r="195" customFormat="false" ht="30" hidden="false" customHeight="true" outlineLevel="0" collapsed="false">
      <c r="A195" s="26" t="s">
        <v>630</v>
      </c>
      <c r="B195" s="27" t="s">
        <v>1187</v>
      </c>
      <c r="C195" s="26" t="n">
        <v>3</v>
      </c>
      <c r="D195" s="9" t="s">
        <v>1196</v>
      </c>
      <c r="E195" s="26" t="s">
        <v>1197</v>
      </c>
      <c r="F195" s="26" t="n">
        <v>66.7</v>
      </c>
      <c r="G195" s="26" t="s">
        <v>1198</v>
      </c>
      <c r="H195" s="6" t="s">
        <v>1199</v>
      </c>
    </row>
    <row r="196" customFormat="false" ht="16.5" hidden="false" customHeight="true" outlineLevel="0" collapsed="false">
      <c r="A196" s="26" t="s">
        <v>630</v>
      </c>
      <c r="B196" s="27" t="s">
        <v>1187</v>
      </c>
      <c r="C196" s="26" t="n">
        <v>4</v>
      </c>
      <c r="D196" s="9" t="s">
        <v>1200</v>
      </c>
      <c r="E196" s="26" t="s">
        <v>1201</v>
      </c>
      <c r="F196" s="26" t="n">
        <v>57.9</v>
      </c>
      <c r="G196" s="26" t="s">
        <v>1053</v>
      </c>
      <c r="H196" s="6" t="s">
        <v>57</v>
      </c>
    </row>
    <row r="197" customFormat="false" ht="30" hidden="false" customHeight="true" outlineLevel="0" collapsed="false">
      <c r="A197" s="26" t="s">
        <v>630</v>
      </c>
      <c r="B197" s="27" t="s">
        <v>1187</v>
      </c>
      <c r="C197" s="26" t="n">
        <v>5</v>
      </c>
      <c r="D197" s="9" t="s">
        <v>1202</v>
      </c>
      <c r="E197" s="26" t="s">
        <v>1203</v>
      </c>
      <c r="F197" s="26" t="n">
        <v>36.7</v>
      </c>
      <c r="G197" s="26" t="s">
        <v>930</v>
      </c>
      <c r="H197" s="6" t="s">
        <v>66</v>
      </c>
    </row>
    <row r="198" customFormat="false" ht="30" hidden="false" customHeight="true" outlineLevel="0" collapsed="false">
      <c r="A198" s="26" t="s">
        <v>630</v>
      </c>
      <c r="B198" s="27" t="s">
        <v>1187</v>
      </c>
      <c r="C198" s="26" t="n">
        <v>6</v>
      </c>
      <c r="D198" s="9" t="s">
        <v>1204</v>
      </c>
      <c r="E198" s="26" t="s">
        <v>1205</v>
      </c>
      <c r="F198" s="26" t="n">
        <v>128.2</v>
      </c>
      <c r="G198" s="26" t="s">
        <v>1206</v>
      </c>
      <c r="H198" s="6" t="s">
        <v>1207</v>
      </c>
    </row>
    <row r="199" customFormat="false" ht="30" hidden="false" customHeight="true" outlineLevel="0" collapsed="false">
      <c r="A199" s="26" t="s">
        <v>630</v>
      </c>
      <c r="B199" s="27" t="s">
        <v>1187</v>
      </c>
      <c r="C199" s="26" t="n">
        <v>7</v>
      </c>
      <c r="D199" s="9" t="s">
        <v>1208</v>
      </c>
      <c r="E199" s="26" t="s">
        <v>1209</v>
      </c>
      <c r="F199" s="26" t="n">
        <v>81.5</v>
      </c>
      <c r="G199" s="26" t="s">
        <v>696</v>
      </c>
      <c r="H199" s="6" t="s">
        <v>88</v>
      </c>
    </row>
    <row r="200" customFormat="false" ht="30" hidden="false" customHeight="true" outlineLevel="0" collapsed="false">
      <c r="A200" s="26" t="s">
        <v>630</v>
      </c>
      <c r="B200" s="27" t="s">
        <v>1187</v>
      </c>
      <c r="C200" s="26" t="n">
        <v>8</v>
      </c>
      <c r="D200" s="9" t="s">
        <v>1210</v>
      </c>
      <c r="E200" s="26" t="s">
        <v>803</v>
      </c>
      <c r="F200" s="26" t="n">
        <v>85.1</v>
      </c>
      <c r="G200" s="26" t="s">
        <v>699</v>
      </c>
      <c r="H200" s="6" t="s">
        <v>95</v>
      </c>
    </row>
    <row r="201" customFormat="false" ht="30" hidden="false" customHeight="true" outlineLevel="0" collapsed="false">
      <c r="A201" s="26" t="s">
        <v>630</v>
      </c>
      <c r="B201" s="27" t="s">
        <v>1187</v>
      </c>
      <c r="C201" s="26" t="n">
        <v>9</v>
      </c>
      <c r="D201" s="9" t="s">
        <v>1211</v>
      </c>
      <c r="E201" s="26" t="s">
        <v>1212</v>
      </c>
      <c r="F201" s="26" t="n">
        <v>107</v>
      </c>
      <c r="G201" s="26" t="s">
        <v>702</v>
      </c>
      <c r="H201" s="6" t="s">
        <v>101</v>
      </c>
    </row>
    <row r="202" customFormat="false" ht="30" hidden="false" customHeight="true" outlineLevel="0" collapsed="false">
      <c r="A202" s="26" t="s">
        <v>630</v>
      </c>
      <c r="B202" s="27" t="s">
        <v>1187</v>
      </c>
      <c r="C202" s="26" t="n">
        <v>10</v>
      </c>
      <c r="D202" s="9" t="s">
        <v>1213</v>
      </c>
      <c r="E202" s="26" t="s">
        <v>1214</v>
      </c>
      <c r="F202" s="26" t="n">
        <v>54</v>
      </c>
      <c r="G202" s="26" t="s">
        <v>702</v>
      </c>
      <c r="H202" s="6" t="s">
        <v>101</v>
      </c>
    </row>
    <row r="203" customFormat="false" ht="30" hidden="false" customHeight="true" outlineLevel="0" collapsed="false">
      <c r="A203" s="26" t="s">
        <v>630</v>
      </c>
      <c r="B203" s="27" t="s">
        <v>1187</v>
      </c>
      <c r="C203" s="26" t="n">
        <v>11</v>
      </c>
      <c r="D203" s="9" t="s">
        <v>1215</v>
      </c>
      <c r="E203" s="26" t="s">
        <v>1216</v>
      </c>
      <c r="F203" s="26" t="n">
        <v>84.8</v>
      </c>
      <c r="G203" s="26" t="s">
        <v>1217</v>
      </c>
      <c r="H203" s="6" t="s">
        <v>1218</v>
      </c>
    </row>
    <row r="204" customFormat="false" ht="30" hidden="false" customHeight="true" outlineLevel="0" collapsed="false">
      <c r="A204" s="26" t="s">
        <v>630</v>
      </c>
      <c r="B204" s="27" t="s">
        <v>1187</v>
      </c>
      <c r="C204" s="26" t="n">
        <v>12</v>
      </c>
      <c r="D204" s="9" t="s">
        <v>1219</v>
      </c>
      <c r="E204" s="26" t="s">
        <v>1220</v>
      </c>
      <c r="F204" s="26" t="n">
        <v>65.2</v>
      </c>
      <c r="G204" s="26" t="s">
        <v>1221</v>
      </c>
      <c r="H204" s="6" t="s">
        <v>1222</v>
      </c>
    </row>
    <row r="205" customFormat="false" ht="30" hidden="false" customHeight="true" outlineLevel="0" collapsed="false">
      <c r="A205" s="26" t="s">
        <v>630</v>
      </c>
      <c r="B205" s="27" t="s">
        <v>1187</v>
      </c>
      <c r="C205" s="26" t="n">
        <v>13</v>
      </c>
      <c r="D205" s="9" t="s">
        <v>1223</v>
      </c>
      <c r="E205" s="26" t="s">
        <v>1224</v>
      </c>
      <c r="F205" s="26" t="n">
        <v>58</v>
      </c>
      <c r="G205" s="26" t="s">
        <v>1225</v>
      </c>
      <c r="H205" s="6" t="s">
        <v>1226</v>
      </c>
    </row>
    <row r="206" customFormat="false" ht="30" hidden="false" customHeight="true" outlineLevel="0" collapsed="false">
      <c r="A206" s="26" t="s">
        <v>630</v>
      </c>
      <c r="B206" s="27" t="s">
        <v>1187</v>
      </c>
      <c r="C206" s="26" t="n">
        <v>14</v>
      </c>
      <c r="D206" s="9" t="s">
        <v>1227</v>
      </c>
      <c r="E206" s="26" t="s">
        <v>1228</v>
      </c>
      <c r="F206" s="26" t="n">
        <v>44.4</v>
      </c>
      <c r="G206" s="26" t="s">
        <v>1229</v>
      </c>
      <c r="H206" s="6" t="s">
        <v>1230</v>
      </c>
    </row>
    <row r="207" customFormat="false" ht="30" hidden="false" customHeight="true" outlineLevel="0" collapsed="false">
      <c r="A207" s="26" t="s">
        <v>630</v>
      </c>
      <c r="B207" s="27" t="s">
        <v>1187</v>
      </c>
      <c r="C207" s="26" t="n">
        <v>15</v>
      </c>
      <c r="D207" s="9" t="s">
        <v>1231</v>
      </c>
      <c r="E207" s="26" t="s">
        <v>1232</v>
      </c>
      <c r="F207" s="26" t="n">
        <v>45.5</v>
      </c>
      <c r="G207" s="26" t="s">
        <v>1233</v>
      </c>
      <c r="H207" s="6" t="s">
        <v>1234</v>
      </c>
    </row>
    <row r="208" customFormat="false" ht="30" hidden="false" customHeight="true" outlineLevel="0" collapsed="false">
      <c r="A208" s="26" t="s">
        <v>630</v>
      </c>
      <c r="B208" s="27" t="s">
        <v>1187</v>
      </c>
      <c r="C208" s="26" t="n">
        <v>16</v>
      </c>
      <c r="D208" s="9" t="s">
        <v>1235</v>
      </c>
      <c r="E208" s="26" t="s">
        <v>1236</v>
      </c>
      <c r="F208" s="26" t="n">
        <v>98</v>
      </c>
      <c r="G208" s="26" t="s">
        <v>1237</v>
      </c>
      <c r="H208" s="6" t="s">
        <v>1238</v>
      </c>
    </row>
    <row r="209" customFormat="false" ht="30" hidden="false" customHeight="true" outlineLevel="0" collapsed="false">
      <c r="A209" s="26" t="s">
        <v>630</v>
      </c>
      <c r="B209" s="27" t="s">
        <v>1187</v>
      </c>
      <c r="C209" s="26" t="n">
        <v>17</v>
      </c>
      <c r="D209" s="9" t="s">
        <v>1239</v>
      </c>
      <c r="E209" s="26" t="s">
        <v>1240</v>
      </c>
      <c r="F209" s="26" t="n">
        <v>88</v>
      </c>
      <c r="G209" s="26" t="s">
        <v>1241</v>
      </c>
      <c r="H209" s="6" t="s">
        <v>1242</v>
      </c>
    </row>
    <row r="210" customFormat="false" ht="30" hidden="false" customHeight="true" outlineLevel="0" collapsed="false">
      <c r="A210" s="26" t="s">
        <v>630</v>
      </c>
      <c r="B210" s="27" t="s">
        <v>1187</v>
      </c>
      <c r="C210" s="26" t="n">
        <v>18</v>
      </c>
      <c r="D210" s="9" t="s">
        <v>1243</v>
      </c>
      <c r="E210" s="26" t="s">
        <v>1244</v>
      </c>
      <c r="F210" s="26" t="n">
        <v>72</v>
      </c>
      <c r="G210" s="26" t="s">
        <v>1245</v>
      </c>
      <c r="H210" s="6" t="s">
        <v>1246</v>
      </c>
    </row>
    <row r="211" customFormat="false" ht="30" hidden="false" customHeight="true" outlineLevel="0" collapsed="false">
      <c r="A211" s="26" t="s">
        <v>630</v>
      </c>
      <c r="B211" s="27" t="s">
        <v>1187</v>
      </c>
      <c r="C211" s="26" t="n">
        <v>19</v>
      </c>
      <c r="D211" s="9" t="s">
        <v>1247</v>
      </c>
      <c r="E211" s="26" t="s">
        <v>1248</v>
      </c>
      <c r="F211" s="26" t="n">
        <v>81</v>
      </c>
      <c r="G211" s="26" t="s">
        <v>746</v>
      </c>
      <c r="H211" s="6" t="s">
        <v>246</v>
      </c>
    </row>
    <row r="212" customFormat="false" ht="30" hidden="false" customHeight="true" outlineLevel="0" collapsed="false">
      <c r="A212" s="26" t="s">
        <v>630</v>
      </c>
      <c r="B212" s="27" t="s">
        <v>1187</v>
      </c>
      <c r="C212" s="26" t="n">
        <v>20</v>
      </c>
      <c r="D212" s="9" t="s">
        <v>1249</v>
      </c>
      <c r="E212" s="26" t="s">
        <v>1250</v>
      </c>
      <c r="F212" s="26" t="n">
        <v>71.2</v>
      </c>
      <c r="G212" s="26" t="s">
        <v>1251</v>
      </c>
      <c r="H212" s="6" t="s">
        <v>1252</v>
      </c>
    </row>
    <row r="213" customFormat="false" ht="30" hidden="false" customHeight="true" outlineLevel="0" collapsed="false">
      <c r="A213" s="26" t="s">
        <v>630</v>
      </c>
      <c r="B213" s="27" t="s">
        <v>1187</v>
      </c>
      <c r="C213" s="26" t="n">
        <v>21</v>
      </c>
      <c r="D213" s="9" t="s">
        <v>1253</v>
      </c>
      <c r="E213" s="26" t="s">
        <v>1254</v>
      </c>
      <c r="F213" s="26" t="n">
        <v>35.1</v>
      </c>
      <c r="G213" s="26" t="s">
        <v>1075</v>
      </c>
      <c r="H213" s="6" t="s">
        <v>258</v>
      </c>
    </row>
    <row r="214" customFormat="false" ht="30" hidden="false" customHeight="true" outlineLevel="0" collapsed="false">
      <c r="A214" s="26" t="s">
        <v>630</v>
      </c>
      <c r="B214" s="27" t="s">
        <v>1187</v>
      </c>
      <c r="C214" s="26" t="n">
        <v>22</v>
      </c>
      <c r="D214" s="9" t="s">
        <v>1255</v>
      </c>
      <c r="E214" s="26" t="s">
        <v>1256</v>
      </c>
      <c r="F214" s="26" t="n">
        <v>67.5</v>
      </c>
      <c r="G214" s="26" t="s">
        <v>925</v>
      </c>
      <c r="H214" s="6" t="s">
        <v>250</v>
      </c>
    </row>
    <row r="215" customFormat="false" ht="30" hidden="false" customHeight="true" outlineLevel="0" collapsed="false">
      <c r="A215" s="26" t="s">
        <v>630</v>
      </c>
      <c r="B215" s="27" t="s">
        <v>1187</v>
      </c>
      <c r="C215" s="26" t="n">
        <v>23</v>
      </c>
      <c r="D215" s="9" t="s">
        <v>1257</v>
      </c>
      <c r="E215" s="26" t="s">
        <v>1258</v>
      </c>
      <c r="F215" s="26" t="n">
        <v>72.2</v>
      </c>
      <c r="G215" s="26" t="s">
        <v>759</v>
      </c>
      <c r="H215" s="6" t="s">
        <v>271</v>
      </c>
    </row>
    <row r="216" customFormat="false" ht="30" hidden="false" customHeight="true" outlineLevel="0" collapsed="false">
      <c r="A216" s="26" t="s">
        <v>630</v>
      </c>
      <c r="B216" s="27" t="s">
        <v>1187</v>
      </c>
      <c r="C216" s="26" t="n">
        <v>24</v>
      </c>
      <c r="D216" s="9" t="s">
        <v>1259</v>
      </c>
      <c r="E216" s="26" t="s">
        <v>1260</v>
      </c>
      <c r="F216" s="26" t="n">
        <v>59.9</v>
      </c>
      <c r="G216" s="26" t="s">
        <v>743</v>
      </c>
      <c r="H216" s="6" t="s">
        <v>217</v>
      </c>
    </row>
    <row r="217" customFormat="false" ht="30" hidden="false" customHeight="true" outlineLevel="0" collapsed="false">
      <c r="A217" s="26" t="s">
        <v>630</v>
      </c>
      <c r="B217" s="27" t="s">
        <v>1187</v>
      </c>
      <c r="C217" s="26" t="n">
        <v>25</v>
      </c>
      <c r="D217" s="9" t="s">
        <v>1261</v>
      </c>
      <c r="E217" s="26" t="s">
        <v>1262</v>
      </c>
      <c r="F217" s="26" t="n">
        <v>69</v>
      </c>
      <c r="G217" s="26" t="s">
        <v>690</v>
      </c>
      <c r="H217" s="6" t="s">
        <v>136</v>
      </c>
    </row>
    <row r="218" customFormat="false" ht="30" hidden="false" customHeight="true" outlineLevel="0" collapsed="false">
      <c r="A218" s="26" t="s">
        <v>630</v>
      </c>
      <c r="B218" s="27" t="s">
        <v>1187</v>
      </c>
      <c r="C218" s="26" t="n">
        <v>26</v>
      </c>
      <c r="D218" s="9" t="s">
        <v>1263</v>
      </c>
      <c r="E218" s="26" t="s">
        <v>1264</v>
      </c>
      <c r="F218" s="26" t="n">
        <v>75.9</v>
      </c>
      <c r="G218" s="26" t="s">
        <v>1265</v>
      </c>
      <c r="H218" s="6" t="s">
        <v>1266</v>
      </c>
    </row>
    <row r="219" customFormat="false" ht="30" hidden="false" customHeight="true" outlineLevel="0" collapsed="false">
      <c r="A219" s="26" t="s">
        <v>630</v>
      </c>
      <c r="B219" s="27" t="s">
        <v>1187</v>
      </c>
      <c r="C219" s="26" t="n">
        <v>27</v>
      </c>
      <c r="D219" s="9" t="s">
        <v>1267</v>
      </c>
      <c r="E219" s="26" t="s">
        <v>1268</v>
      </c>
      <c r="F219" s="26" t="n">
        <v>65.1</v>
      </c>
      <c r="G219" s="26" t="s">
        <v>1269</v>
      </c>
      <c r="H219" s="6" t="s">
        <v>1270</v>
      </c>
    </row>
    <row r="220" customFormat="false" ht="16.5" hidden="false" customHeight="true" outlineLevel="0" collapsed="false">
      <c r="A220" s="26" t="s">
        <v>630</v>
      </c>
      <c r="B220" s="27" t="s">
        <v>1187</v>
      </c>
      <c r="C220" s="26" t="n">
        <v>28</v>
      </c>
      <c r="D220" s="9" t="s">
        <v>1271</v>
      </c>
      <c r="E220" s="26" t="s">
        <v>1272</v>
      </c>
      <c r="F220" s="26" t="n">
        <v>82.4</v>
      </c>
      <c r="G220" s="26" t="s">
        <v>1273</v>
      </c>
      <c r="H220" s="6" t="s">
        <v>323</v>
      </c>
    </row>
    <row r="221" customFormat="false" ht="30" hidden="false" customHeight="true" outlineLevel="0" collapsed="false">
      <c r="A221" s="26" t="s">
        <v>630</v>
      </c>
      <c r="B221" s="27" t="s">
        <v>1187</v>
      </c>
      <c r="C221" s="26" t="n">
        <v>29</v>
      </c>
      <c r="D221" s="9" t="s">
        <v>1274</v>
      </c>
      <c r="E221" s="26" t="s">
        <v>1275</v>
      </c>
      <c r="F221" s="26" t="n">
        <v>76</v>
      </c>
      <c r="G221" s="26" t="s">
        <v>971</v>
      </c>
      <c r="H221" s="6" t="s">
        <v>330</v>
      </c>
    </row>
    <row r="222" customFormat="false" ht="30" hidden="false" customHeight="true" outlineLevel="0" collapsed="false">
      <c r="A222" s="26" t="s">
        <v>630</v>
      </c>
      <c r="B222" s="27" t="s">
        <v>1187</v>
      </c>
      <c r="C222" s="26" t="n">
        <v>30</v>
      </c>
      <c r="D222" s="9" t="s">
        <v>1276</v>
      </c>
      <c r="E222" s="26" t="s">
        <v>1277</v>
      </c>
      <c r="F222" s="26" t="n">
        <v>76</v>
      </c>
      <c r="G222" s="26" t="s">
        <v>1278</v>
      </c>
      <c r="H222" s="6" t="s">
        <v>337</v>
      </c>
    </row>
    <row r="223" customFormat="false" ht="30" hidden="false" customHeight="true" outlineLevel="0" collapsed="false">
      <c r="A223" s="26" t="s">
        <v>630</v>
      </c>
      <c r="B223" s="27" t="s">
        <v>1187</v>
      </c>
      <c r="C223" s="26" t="n">
        <v>31</v>
      </c>
      <c r="D223" s="9" t="s">
        <v>1279</v>
      </c>
      <c r="E223" s="26" t="s">
        <v>1280</v>
      </c>
      <c r="F223" s="26" t="n">
        <v>29.2</v>
      </c>
      <c r="G223" s="26" t="s">
        <v>971</v>
      </c>
      <c r="H223" s="6" t="s">
        <v>330</v>
      </c>
    </row>
    <row r="224" customFormat="false" ht="30" hidden="false" customHeight="true" outlineLevel="0" collapsed="false">
      <c r="A224" s="26" t="s">
        <v>630</v>
      </c>
      <c r="B224" s="27" t="s">
        <v>1187</v>
      </c>
      <c r="C224" s="26" t="n">
        <v>32</v>
      </c>
      <c r="D224" s="9" t="s">
        <v>1281</v>
      </c>
      <c r="E224" s="26" t="s">
        <v>1282</v>
      </c>
      <c r="F224" s="26" t="n">
        <v>44.6</v>
      </c>
      <c r="G224" s="26" t="s">
        <v>980</v>
      </c>
      <c r="H224" s="6" t="s">
        <v>341</v>
      </c>
    </row>
    <row r="225" customFormat="false" ht="30" hidden="false" customHeight="true" outlineLevel="0" collapsed="false">
      <c r="A225" s="26" t="s">
        <v>630</v>
      </c>
      <c r="B225" s="27" t="s">
        <v>1187</v>
      </c>
      <c r="C225" s="26" t="n">
        <v>33</v>
      </c>
      <c r="D225" s="9" t="s">
        <v>1283</v>
      </c>
      <c r="E225" s="26" t="s">
        <v>1284</v>
      </c>
      <c r="F225" s="26" t="n">
        <v>97.5</v>
      </c>
      <c r="G225" s="26" t="s">
        <v>995</v>
      </c>
      <c r="H225" s="6" t="s">
        <v>996</v>
      </c>
    </row>
    <row r="226" customFormat="false" ht="30" hidden="false" customHeight="true" outlineLevel="0" collapsed="false">
      <c r="A226" s="26" t="s">
        <v>630</v>
      </c>
      <c r="B226" s="27" t="s">
        <v>1187</v>
      </c>
      <c r="C226" s="26" t="n">
        <v>34</v>
      </c>
      <c r="D226" s="9" t="s">
        <v>1285</v>
      </c>
      <c r="E226" s="26" t="s">
        <v>1286</v>
      </c>
      <c r="F226" s="26" t="n">
        <v>71.3</v>
      </c>
      <c r="G226" s="26" t="s">
        <v>1287</v>
      </c>
      <c r="H226" s="6" t="s">
        <v>1288</v>
      </c>
    </row>
    <row r="227" customFormat="false" ht="30" hidden="false" customHeight="true" outlineLevel="0" collapsed="false">
      <c r="A227" s="26" t="s">
        <v>630</v>
      </c>
      <c r="B227" s="27" t="s">
        <v>1187</v>
      </c>
      <c r="C227" s="26" t="n">
        <v>35</v>
      </c>
      <c r="D227" s="9" t="s">
        <v>1289</v>
      </c>
      <c r="E227" s="26" t="s">
        <v>1290</v>
      </c>
      <c r="F227" s="26" t="n">
        <v>77.4</v>
      </c>
      <c r="G227" s="26" t="s">
        <v>1291</v>
      </c>
      <c r="H227" s="6" t="s">
        <v>360</v>
      </c>
    </row>
    <row r="228" customFormat="false" ht="30" hidden="false" customHeight="true" outlineLevel="0" collapsed="false">
      <c r="A228" s="26" t="s">
        <v>630</v>
      </c>
      <c r="B228" s="27" t="s">
        <v>1187</v>
      </c>
      <c r="C228" s="26" t="n">
        <v>36</v>
      </c>
      <c r="D228" s="9" t="s">
        <v>1292</v>
      </c>
      <c r="E228" s="26" t="s">
        <v>1293</v>
      </c>
      <c r="F228" s="26" t="n">
        <v>44.6</v>
      </c>
      <c r="G228" s="26" t="s">
        <v>1294</v>
      </c>
      <c r="H228" s="6" t="s">
        <v>1295</v>
      </c>
    </row>
    <row r="229" customFormat="false" ht="30" hidden="false" customHeight="true" outlineLevel="0" collapsed="false">
      <c r="A229" s="26" t="s">
        <v>630</v>
      </c>
      <c r="B229" s="27" t="s">
        <v>1187</v>
      </c>
      <c r="C229" s="26" t="n">
        <v>37</v>
      </c>
      <c r="D229" s="9" t="s">
        <v>1296</v>
      </c>
      <c r="E229" s="26" t="s">
        <v>1297</v>
      </c>
      <c r="F229" s="26" t="n">
        <v>49.6</v>
      </c>
      <c r="G229" s="26" t="s">
        <v>1298</v>
      </c>
      <c r="H229" s="6" t="s">
        <v>1299</v>
      </c>
    </row>
    <row r="230" customFormat="false" ht="30" hidden="false" customHeight="true" outlineLevel="0" collapsed="false">
      <c r="A230" s="26" t="s">
        <v>630</v>
      </c>
      <c r="B230" s="27" t="s">
        <v>1187</v>
      </c>
      <c r="C230" s="26" t="n">
        <v>38</v>
      </c>
      <c r="D230" s="9" t="s">
        <v>1300</v>
      </c>
      <c r="E230" s="26" t="s">
        <v>1301</v>
      </c>
      <c r="F230" s="26" t="n">
        <v>115.2</v>
      </c>
      <c r="G230" s="26" t="s">
        <v>1302</v>
      </c>
      <c r="H230" s="6" t="s">
        <v>1303</v>
      </c>
    </row>
    <row r="231" customFormat="false" ht="30" hidden="false" customHeight="true" outlineLevel="0" collapsed="false">
      <c r="A231" s="26" t="s">
        <v>630</v>
      </c>
      <c r="B231" s="27" t="s">
        <v>1187</v>
      </c>
      <c r="C231" s="26" t="n">
        <v>39</v>
      </c>
      <c r="D231" s="9" t="s">
        <v>1304</v>
      </c>
      <c r="E231" s="26" t="s">
        <v>1305</v>
      </c>
      <c r="F231" s="26" t="n">
        <v>63.3</v>
      </c>
      <c r="G231" s="26" t="s">
        <v>1004</v>
      </c>
      <c r="H231" s="6" t="s">
        <v>395</v>
      </c>
    </row>
    <row r="232" customFormat="false" ht="30" hidden="false" customHeight="true" outlineLevel="0" collapsed="false">
      <c r="A232" s="26" t="s">
        <v>630</v>
      </c>
      <c r="B232" s="27" t="s">
        <v>1187</v>
      </c>
      <c r="C232" s="26" t="n">
        <v>40</v>
      </c>
      <c r="D232" s="9" t="s">
        <v>1306</v>
      </c>
      <c r="E232" s="26" t="s">
        <v>1307</v>
      </c>
      <c r="F232" s="26" t="n">
        <v>60.2</v>
      </c>
      <c r="G232" s="26" t="s">
        <v>1308</v>
      </c>
      <c r="H232" s="6" t="s">
        <v>1309</v>
      </c>
    </row>
    <row r="233" customFormat="false" ht="30" hidden="false" customHeight="true" outlineLevel="0" collapsed="false">
      <c r="A233" s="26" t="s">
        <v>630</v>
      </c>
      <c r="B233" s="27" t="s">
        <v>1187</v>
      </c>
      <c r="C233" s="26" t="n">
        <v>41</v>
      </c>
      <c r="D233" s="9" t="s">
        <v>1310</v>
      </c>
      <c r="E233" s="26" t="s">
        <v>1311</v>
      </c>
      <c r="F233" s="26" t="n">
        <v>76.6</v>
      </c>
      <c r="G233" s="26" t="s">
        <v>1012</v>
      </c>
      <c r="H233" s="6" t="s">
        <v>390</v>
      </c>
    </row>
    <row r="234" customFormat="false" ht="30" hidden="false" customHeight="true" outlineLevel="0" collapsed="false">
      <c r="A234" s="26" t="s">
        <v>630</v>
      </c>
      <c r="B234" s="27" t="s">
        <v>1187</v>
      </c>
      <c r="C234" s="26" t="n">
        <v>42</v>
      </c>
      <c r="D234" s="9" t="s">
        <v>1312</v>
      </c>
      <c r="E234" s="26" t="s">
        <v>1313</v>
      </c>
      <c r="F234" s="26" t="n">
        <v>42.6</v>
      </c>
      <c r="G234" s="26" t="s">
        <v>1314</v>
      </c>
      <c r="H234" s="6" t="s">
        <v>1315</v>
      </c>
    </row>
    <row r="235" customFormat="false" ht="30" hidden="false" customHeight="true" outlineLevel="0" collapsed="false">
      <c r="A235" s="26" t="s">
        <v>630</v>
      </c>
      <c r="B235" s="27" t="s">
        <v>1187</v>
      </c>
      <c r="C235" s="26" t="n">
        <v>43</v>
      </c>
      <c r="D235" s="9" t="s">
        <v>1316</v>
      </c>
      <c r="E235" s="26" t="s">
        <v>1317</v>
      </c>
      <c r="F235" s="26" t="n">
        <v>55.8</v>
      </c>
      <c r="G235" s="26" t="s">
        <v>1089</v>
      </c>
      <c r="H235" s="6" t="s">
        <v>1090</v>
      </c>
    </row>
    <row r="236" customFormat="false" ht="30" hidden="false" customHeight="true" outlineLevel="0" collapsed="false">
      <c r="A236" s="26" t="s">
        <v>630</v>
      </c>
      <c r="B236" s="27" t="s">
        <v>1187</v>
      </c>
      <c r="C236" s="26" t="n">
        <v>44</v>
      </c>
      <c r="D236" s="9" t="s">
        <v>1318</v>
      </c>
      <c r="E236" s="26" t="s">
        <v>1319</v>
      </c>
      <c r="F236" s="26" t="n">
        <v>65.4</v>
      </c>
      <c r="G236" s="26" t="s">
        <v>1320</v>
      </c>
      <c r="H236" s="6" t="s">
        <v>1321</v>
      </c>
    </row>
    <row r="237" customFormat="false" ht="30" hidden="false" customHeight="true" outlineLevel="0" collapsed="false">
      <c r="A237" s="26" t="s">
        <v>630</v>
      </c>
      <c r="B237" s="27" t="s">
        <v>1187</v>
      </c>
      <c r="C237" s="26" t="n">
        <v>45</v>
      </c>
      <c r="D237" s="9" t="s">
        <v>1322</v>
      </c>
      <c r="E237" s="26" t="s">
        <v>1323</v>
      </c>
      <c r="F237" s="26" t="n">
        <v>64.2</v>
      </c>
      <c r="G237" s="26" t="s">
        <v>1324</v>
      </c>
      <c r="H237" s="6" t="s">
        <v>524</v>
      </c>
    </row>
    <row r="238" customFormat="false" ht="30" hidden="false" customHeight="true" outlineLevel="0" collapsed="false">
      <c r="A238" s="26" t="s">
        <v>630</v>
      </c>
      <c r="B238" s="27" t="s">
        <v>1187</v>
      </c>
      <c r="C238" s="26" t="n">
        <v>46</v>
      </c>
      <c r="D238" s="9" t="s">
        <v>1325</v>
      </c>
      <c r="E238" s="26" t="s">
        <v>1326</v>
      </c>
      <c r="F238" s="26" t="n">
        <v>62.9</v>
      </c>
      <c r="G238" s="26" t="s">
        <v>1327</v>
      </c>
      <c r="H238" s="6" t="s">
        <v>528</v>
      </c>
    </row>
    <row r="239" customFormat="false" ht="30" hidden="false" customHeight="true" outlineLevel="0" collapsed="false">
      <c r="A239" s="26" t="s">
        <v>630</v>
      </c>
      <c r="B239" s="27" t="s">
        <v>1187</v>
      </c>
      <c r="C239" s="26" t="n">
        <v>47</v>
      </c>
      <c r="D239" s="9" t="s">
        <v>1328</v>
      </c>
      <c r="E239" s="26" t="s">
        <v>1329</v>
      </c>
      <c r="F239" s="26" t="n">
        <v>51.6</v>
      </c>
      <c r="G239" s="26" t="s">
        <v>1034</v>
      </c>
      <c r="H239" s="6" t="s">
        <v>434</v>
      </c>
    </row>
    <row r="240" customFormat="false" ht="30" hidden="false" customHeight="true" outlineLevel="0" collapsed="false">
      <c r="A240" s="26" t="s">
        <v>630</v>
      </c>
      <c r="B240" s="27" t="s">
        <v>1187</v>
      </c>
      <c r="C240" s="26" t="n">
        <v>48</v>
      </c>
      <c r="D240" s="9" t="s">
        <v>1330</v>
      </c>
      <c r="E240" s="26" t="s">
        <v>1331</v>
      </c>
      <c r="F240" s="26" t="n">
        <v>61</v>
      </c>
      <c r="G240" s="26" t="s">
        <v>1034</v>
      </c>
      <c r="H240" s="6" t="s">
        <v>434</v>
      </c>
    </row>
    <row r="241" customFormat="false" ht="30" hidden="false" customHeight="true" outlineLevel="0" collapsed="false">
      <c r="A241" s="26" t="s">
        <v>630</v>
      </c>
      <c r="B241" s="27" t="s">
        <v>1187</v>
      </c>
      <c r="C241" s="26" t="n">
        <v>49</v>
      </c>
      <c r="D241" s="9" t="s">
        <v>1332</v>
      </c>
      <c r="E241" s="26" t="s">
        <v>1333</v>
      </c>
      <c r="F241" s="26" t="n">
        <v>39.1</v>
      </c>
      <c r="G241" s="26" t="s">
        <v>1126</v>
      </c>
      <c r="H241" s="6" t="s">
        <v>441</v>
      </c>
    </row>
    <row r="242" customFormat="false" ht="30" hidden="false" customHeight="true" outlineLevel="0" collapsed="false">
      <c r="A242" s="26" t="s">
        <v>630</v>
      </c>
      <c r="B242" s="27" t="s">
        <v>1187</v>
      </c>
      <c r="C242" s="26" t="n">
        <v>50</v>
      </c>
      <c r="D242" s="9" t="s">
        <v>1334</v>
      </c>
      <c r="E242" s="26" t="s">
        <v>1335</v>
      </c>
      <c r="F242" s="26" t="n">
        <v>55.9</v>
      </c>
      <c r="G242" s="26" t="s">
        <v>1336</v>
      </c>
      <c r="H242" s="6" t="s">
        <v>1337</v>
      </c>
    </row>
    <row r="243" customFormat="false" ht="30" hidden="false" customHeight="true" outlineLevel="0" collapsed="false">
      <c r="A243" s="26" t="s">
        <v>630</v>
      </c>
      <c r="B243" s="27" t="s">
        <v>1187</v>
      </c>
      <c r="C243" s="26" t="n">
        <v>51</v>
      </c>
      <c r="D243" s="9" t="s">
        <v>1338</v>
      </c>
      <c r="E243" s="26" t="s">
        <v>1339</v>
      </c>
      <c r="F243" s="26" t="n">
        <v>48</v>
      </c>
      <c r="G243" s="26" t="s">
        <v>1039</v>
      </c>
      <c r="H243" s="6" t="s">
        <v>451</v>
      </c>
    </row>
    <row r="244" customFormat="false" ht="30" hidden="false" customHeight="true" outlineLevel="0" collapsed="false">
      <c r="A244" s="26" t="s">
        <v>630</v>
      </c>
      <c r="B244" s="27" t="s">
        <v>1187</v>
      </c>
      <c r="C244" s="26" t="n">
        <v>52</v>
      </c>
      <c r="D244" s="9" t="s">
        <v>1340</v>
      </c>
      <c r="E244" s="26" t="s">
        <v>1341</v>
      </c>
      <c r="F244" s="26" t="n">
        <v>63.3</v>
      </c>
      <c r="G244" s="26" t="s">
        <v>1342</v>
      </c>
      <c r="H244" s="6" t="s">
        <v>456</v>
      </c>
    </row>
    <row r="245" customFormat="false" ht="30" hidden="false" customHeight="true" outlineLevel="0" collapsed="false">
      <c r="A245" s="26" t="s">
        <v>630</v>
      </c>
      <c r="B245" s="27" t="s">
        <v>1187</v>
      </c>
      <c r="C245" s="26" t="n">
        <v>53</v>
      </c>
      <c r="D245" s="9" t="s">
        <v>1343</v>
      </c>
      <c r="E245" s="26" t="s">
        <v>1344</v>
      </c>
      <c r="F245" s="26" t="n">
        <v>80.1</v>
      </c>
      <c r="G245" s="26" t="s">
        <v>1129</v>
      </c>
      <c r="H245" s="6" t="s">
        <v>1130</v>
      </c>
    </row>
    <row r="246" customFormat="false" ht="30" hidden="false" customHeight="true" outlineLevel="0" collapsed="false">
      <c r="A246" s="26" t="s">
        <v>630</v>
      </c>
      <c r="B246" s="27" t="s">
        <v>1187</v>
      </c>
      <c r="C246" s="26" t="n">
        <v>54</v>
      </c>
      <c r="D246" s="9" t="s">
        <v>1345</v>
      </c>
      <c r="E246" s="26" t="s">
        <v>1346</v>
      </c>
      <c r="F246" s="26" t="n">
        <v>49.1</v>
      </c>
      <c r="G246" s="26" t="s">
        <v>1133</v>
      </c>
      <c r="H246" s="6" t="s">
        <v>1134</v>
      </c>
    </row>
    <row r="247" customFormat="false" ht="30" hidden="false" customHeight="true" outlineLevel="0" collapsed="false">
      <c r="A247" s="26" t="s">
        <v>630</v>
      </c>
      <c r="B247" s="27" t="s">
        <v>1187</v>
      </c>
      <c r="C247" s="26" t="n">
        <v>55</v>
      </c>
      <c r="D247" s="9" t="s">
        <v>1347</v>
      </c>
      <c r="E247" s="26" t="s">
        <v>1348</v>
      </c>
      <c r="F247" s="26" t="n">
        <v>31.5</v>
      </c>
      <c r="G247" s="26" t="s">
        <v>1349</v>
      </c>
      <c r="H247" s="6" t="s">
        <v>475</v>
      </c>
    </row>
    <row r="248" customFormat="false" ht="30" hidden="false" customHeight="true" outlineLevel="0" collapsed="false">
      <c r="A248" s="26" t="s">
        <v>630</v>
      </c>
      <c r="B248" s="27" t="s">
        <v>1187</v>
      </c>
      <c r="C248" s="26" t="n">
        <v>56</v>
      </c>
      <c r="D248" s="9" t="s">
        <v>1350</v>
      </c>
      <c r="E248" s="26" t="s">
        <v>1351</v>
      </c>
      <c r="F248" s="26" t="n">
        <v>79.2</v>
      </c>
      <c r="G248" s="26" t="s">
        <v>1352</v>
      </c>
      <c r="H248" s="6" t="s">
        <v>1353</v>
      </c>
    </row>
    <row r="249" customFormat="false" ht="30" hidden="false" customHeight="true" outlineLevel="0" collapsed="false">
      <c r="A249" s="26" t="s">
        <v>630</v>
      </c>
      <c r="B249" s="27" t="s">
        <v>1187</v>
      </c>
      <c r="C249" s="26" t="n">
        <v>57</v>
      </c>
      <c r="D249" s="9" t="s">
        <v>1354</v>
      </c>
      <c r="E249" s="26" t="s">
        <v>1355</v>
      </c>
      <c r="F249" s="26" t="n">
        <v>82.3</v>
      </c>
      <c r="G249" s="26" t="s">
        <v>1356</v>
      </c>
      <c r="H249" s="6" t="s">
        <v>1357</v>
      </c>
    </row>
    <row r="250" customFormat="false" ht="30" hidden="false" customHeight="true" outlineLevel="0" collapsed="false">
      <c r="A250" s="26" t="s">
        <v>633</v>
      </c>
      <c r="B250" s="27" t="s">
        <v>1358</v>
      </c>
      <c r="C250" s="26" t="n">
        <v>1</v>
      </c>
      <c r="D250" s="9" t="s">
        <v>1359</v>
      </c>
      <c r="E250" s="26" t="s">
        <v>1360</v>
      </c>
      <c r="F250" s="26" t="n">
        <v>11.7</v>
      </c>
      <c r="G250" s="26" t="s">
        <v>1361</v>
      </c>
      <c r="H250" s="6" t="s">
        <v>24</v>
      </c>
    </row>
    <row r="251" customFormat="false" ht="16.5" hidden="false" customHeight="true" outlineLevel="0" collapsed="false">
      <c r="A251" s="26" t="s">
        <v>633</v>
      </c>
      <c r="B251" s="27" t="s">
        <v>1358</v>
      </c>
      <c r="C251" s="26" t="n">
        <v>2</v>
      </c>
      <c r="D251" s="9" t="s">
        <v>1362</v>
      </c>
      <c r="E251" s="26" t="s">
        <v>1363</v>
      </c>
      <c r="F251" s="26" t="n">
        <v>7.9</v>
      </c>
      <c r="G251" s="26" t="s">
        <v>663</v>
      </c>
      <c r="H251" s="6" t="s">
        <v>30</v>
      </c>
    </row>
    <row r="252" customFormat="false" ht="16.5" hidden="false" customHeight="true" outlineLevel="0" collapsed="false">
      <c r="A252" s="26" t="s">
        <v>633</v>
      </c>
      <c r="B252" s="27" t="s">
        <v>1358</v>
      </c>
      <c r="C252" s="26" t="n">
        <v>3</v>
      </c>
      <c r="D252" s="9" t="s">
        <v>1364</v>
      </c>
      <c r="E252" s="26" t="s">
        <v>1365</v>
      </c>
      <c r="F252" s="26" t="n">
        <v>7.9</v>
      </c>
      <c r="G252" s="26" t="s">
        <v>780</v>
      </c>
      <c r="H252" s="6" t="s">
        <v>16</v>
      </c>
    </row>
    <row r="253" customFormat="false" ht="16.5" hidden="false" customHeight="true" outlineLevel="0" collapsed="false">
      <c r="A253" s="26" t="s">
        <v>633</v>
      </c>
      <c r="B253" s="27" t="s">
        <v>1358</v>
      </c>
      <c r="C253" s="26" t="n">
        <v>4</v>
      </c>
      <c r="D253" s="9" t="s">
        <v>1366</v>
      </c>
      <c r="E253" s="26" t="s">
        <v>1367</v>
      </c>
      <c r="F253" s="26" t="n">
        <v>6.7</v>
      </c>
      <c r="G253" s="26" t="s">
        <v>780</v>
      </c>
      <c r="H253" s="6" t="s">
        <v>16</v>
      </c>
    </row>
    <row r="254" customFormat="false" ht="16.5" hidden="false" customHeight="true" outlineLevel="0" collapsed="false">
      <c r="A254" s="26" t="s">
        <v>633</v>
      </c>
      <c r="B254" s="27" t="s">
        <v>1358</v>
      </c>
      <c r="C254" s="26" t="n">
        <v>5</v>
      </c>
      <c r="D254" s="9" t="s">
        <v>1368</v>
      </c>
      <c r="E254" s="26" t="s">
        <v>1369</v>
      </c>
      <c r="F254" s="26" t="n">
        <v>3.3</v>
      </c>
      <c r="G254" s="26" t="s">
        <v>780</v>
      </c>
      <c r="H254" s="6" t="s">
        <v>16</v>
      </c>
    </row>
    <row r="255" customFormat="false" ht="16.5" hidden="false" customHeight="true" outlineLevel="0" collapsed="false">
      <c r="A255" s="26" t="s">
        <v>633</v>
      </c>
      <c r="B255" s="27" t="s">
        <v>1358</v>
      </c>
      <c r="C255" s="26" t="n">
        <v>6</v>
      </c>
      <c r="D255" s="9" t="s">
        <v>1370</v>
      </c>
      <c r="E255" s="26" t="s">
        <v>1371</v>
      </c>
      <c r="F255" s="26" t="n">
        <v>5.7</v>
      </c>
      <c r="G255" s="26" t="s">
        <v>780</v>
      </c>
      <c r="H255" s="6" t="s">
        <v>16</v>
      </c>
    </row>
    <row r="256" customFormat="false" ht="30" hidden="false" customHeight="true" outlineLevel="0" collapsed="false">
      <c r="A256" s="26" t="s">
        <v>633</v>
      </c>
      <c r="B256" s="27" t="s">
        <v>1358</v>
      </c>
      <c r="C256" s="26" t="n">
        <v>7</v>
      </c>
      <c r="D256" s="9" t="s">
        <v>1372</v>
      </c>
      <c r="E256" s="26" t="s">
        <v>1373</v>
      </c>
      <c r="F256" s="26" t="n">
        <v>10.4</v>
      </c>
      <c r="G256" s="26" t="s">
        <v>780</v>
      </c>
      <c r="H256" s="6" t="s">
        <v>16</v>
      </c>
    </row>
    <row r="257" customFormat="false" ht="16.5" hidden="false" customHeight="true" outlineLevel="0" collapsed="false">
      <c r="A257" s="26" t="s">
        <v>633</v>
      </c>
      <c r="B257" s="27" t="s">
        <v>1358</v>
      </c>
      <c r="C257" s="26" t="n">
        <v>8</v>
      </c>
      <c r="D257" s="9" t="s">
        <v>1374</v>
      </c>
      <c r="E257" s="26" t="s">
        <v>1375</v>
      </c>
      <c r="F257" s="26" t="n">
        <v>6.2</v>
      </c>
      <c r="G257" s="26" t="s">
        <v>793</v>
      </c>
      <c r="H257" s="6" t="s">
        <v>35</v>
      </c>
    </row>
    <row r="258" customFormat="false" ht="30" hidden="false" customHeight="true" outlineLevel="0" collapsed="false">
      <c r="A258" s="26" t="s">
        <v>633</v>
      </c>
      <c r="B258" s="27" t="s">
        <v>1358</v>
      </c>
      <c r="C258" s="26" t="n">
        <v>9</v>
      </c>
      <c r="D258" s="9" t="s">
        <v>1376</v>
      </c>
      <c r="E258" s="26" t="s">
        <v>1377</v>
      </c>
      <c r="F258" s="26" t="n">
        <v>5.4</v>
      </c>
      <c r="G258" s="26" t="s">
        <v>1361</v>
      </c>
      <c r="H258" s="6" t="s">
        <v>24</v>
      </c>
    </row>
    <row r="259" customFormat="false" ht="16.5" hidden="false" customHeight="true" outlineLevel="0" collapsed="false">
      <c r="A259" s="26" t="s">
        <v>633</v>
      </c>
      <c r="B259" s="27" t="s">
        <v>1358</v>
      </c>
      <c r="C259" s="26" t="n">
        <v>10</v>
      </c>
      <c r="D259" s="9" t="s">
        <v>1378</v>
      </c>
      <c r="E259" s="26" t="s">
        <v>1379</v>
      </c>
      <c r="F259" s="26" t="n">
        <v>7</v>
      </c>
      <c r="G259" s="26" t="s">
        <v>1361</v>
      </c>
      <c r="H259" s="6" t="s">
        <v>24</v>
      </c>
    </row>
    <row r="260" customFormat="false" ht="30" hidden="false" customHeight="true" outlineLevel="0" collapsed="false">
      <c r="A260" s="26" t="s">
        <v>633</v>
      </c>
      <c r="B260" s="27" t="s">
        <v>1358</v>
      </c>
      <c r="C260" s="26" t="n">
        <v>11</v>
      </c>
      <c r="D260" s="9" t="s">
        <v>1380</v>
      </c>
      <c r="E260" s="26" t="s">
        <v>1381</v>
      </c>
      <c r="F260" s="26" t="n">
        <v>6.9</v>
      </c>
      <c r="G260" s="26" t="s">
        <v>793</v>
      </c>
      <c r="H260" s="6" t="s">
        <v>35</v>
      </c>
    </row>
    <row r="261" customFormat="false" ht="30" hidden="false" customHeight="true" outlineLevel="0" collapsed="false">
      <c r="A261" s="26" t="s">
        <v>633</v>
      </c>
      <c r="B261" s="27" t="s">
        <v>1358</v>
      </c>
      <c r="C261" s="26" t="n">
        <v>12</v>
      </c>
      <c r="D261" s="9" t="s">
        <v>1382</v>
      </c>
      <c r="E261" s="26" t="s">
        <v>1383</v>
      </c>
      <c r="F261" s="26" t="n">
        <v>9.5</v>
      </c>
      <c r="G261" s="26" t="s">
        <v>672</v>
      </c>
      <c r="H261" s="6" t="s">
        <v>43</v>
      </c>
    </row>
    <row r="262" customFormat="false" ht="30" hidden="false" customHeight="true" outlineLevel="0" collapsed="false">
      <c r="A262" s="26" t="s">
        <v>633</v>
      </c>
      <c r="B262" s="27" t="s">
        <v>1358</v>
      </c>
      <c r="C262" s="26" t="n">
        <v>13</v>
      </c>
      <c r="D262" s="9" t="s">
        <v>1384</v>
      </c>
      <c r="E262" s="26" t="s">
        <v>1385</v>
      </c>
      <c r="F262" s="26" t="n">
        <v>4.7</v>
      </c>
      <c r="G262" s="26" t="s">
        <v>1386</v>
      </c>
      <c r="H262" s="6" t="s">
        <v>1387</v>
      </c>
    </row>
    <row r="263" customFormat="false" ht="16.5" hidden="false" customHeight="true" outlineLevel="0" collapsed="false">
      <c r="A263" s="26" t="s">
        <v>633</v>
      </c>
      <c r="B263" s="27" t="s">
        <v>1358</v>
      </c>
      <c r="C263" s="26" t="n">
        <v>14</v>
      </c>
      <c r="D263" s="9" t="s">
        <v>1388</v>
      </c>
      <c r="E263" s="26" t="s">
        <v>1389</v>
      </c>
      <c r="F263" s="26" t="n">
        <v>10.7</v>
      </c>
      <c r="G263" s="26" t="s">
        <v>672</v>
      </c>
      <c r="H263" s="6" t="s">
        <v>43</v>
      </c>
    </row>
    <row r="264" customFormat="false" ht="30" hidden="false" customHeight="true" outlineLevel="0" collapsed="false">
      <c r="A264" s="26" t="s">
        <v>633</v>
      </c>
      <c r="B264" s="27" t="s">
        <v>1358</v>
      </c>
      <c r="C264" s="26" t="n">
        <v>15</v>
      </c>
      <c r="D264" s="9" t="s">
        <v>1390</v>
      </c>
      <c r="E264" s="26" t="s">
        <v>1391</v>
      </c>
      <c r="F264" s="26" t="n">
        <v>5.4</v>
      </c>
      <c r="G264" s="26" t="s">
        <v>675</v>
      </c>
      <c r="H264" s="6" t="s">
        <v>50</v>
      </c>
    </row>
    <row r="265" customFormat="false" ht="30" hidden="false" customHeight="true" outlineLevel="0" collapsed="false">
      <c r="A265" s="26" t="s">
        <v>633</v>
      </c>
      <c r="B265" s="27" t="s">
        <v>1358</v>
      </c>
      <c r="C265" s="26" t="n">
        <v>16</v>
      </c>
      <c r="D265" s="9" t="s">
        <v>1392</v>
      </c>
      <c r="E265" s="26" t="s">
        <v>1393</v>
      </c>
      <c r="F265" s="26" t="n">
        <v>4.5</v>
      </c>
      <c r="G265" s="26" t="s">
        <v>678</v>
      </c>
      <c r="H265" s="6" t="s">
        <v>61</v>
      </c>
    </row>
    <row r="266" customFormat="false" ht="16.5" hidden="false" customHeight="true" outlineLevel="0" collapsed="false">
      <c r="A266" s="26" t="s">
        <v>633</v>
      </c>
      <c r="B266" s="27" t="s">
        <v>1358</v>
      </c>
      <c r="C266" s="26" t="n">
        <v>17</v>
      </c>
      <c r="D266" s="9" t="s">
        <v>1394</v>
      </c>
      <c r="E266" s="26" t="s">
        <v>1395</v>
      </c>
      <c r="F266" s="26" t="n">
        <v>14.2</v>
      </c>
      <c r="G266" s="26" t="s">
        <v>678</v>
      </c>
      <c r="H266" s="6" t="s">
        <v>61</v>
      </c>
    </row>
    <row r="267" customFormat="false" ht="16.5" hidden="false" customHeight="true" outlineLevel="0" collapsed="false">
      <c r="A267" s="26" t="s">
        <v>633</v>
      </c>
      <c r="B267" s="27" t="s">
        <v>1358</v>
      </c>
      <c r="C267" s="26" t="n">
        <v>18</v>
      </c>
      <c r="D267" s="9" t="s">
        <v>1396</v>
      </c>
      <c r="E267" s="26" t="s">
        <v>1397</v>
      </c>
      <c r="F267" s="26" t="n">
        <v>13.1</v>
      </c>
      <c r="G267" s="26" t="s">
        <v>678</v>
      </c>
      <c r="H267" s="6" t="s">
        <v>61</v>
      </c>
    </row>
    <row r="268" customFormat="false" ht="16.5" hidden="false" customHeight="true" outlineLevel="0" collapsed="false">
      <c r="A268" s="26" t="s">
        <v>633</v>
      </c>
      <c r="B268" s="27" t="s">
        <v>1358</v>
      </c>
      <c r="C268" s="26" t="n">
        <v>19</v>
      </c>
      <c r="D268" s="9" t="s">
        <v>1398</v>
      </c>
      <c r="E268" s="26" t="s">
        <v>1399</v>
      </c>
      <c r="F268" s="26" t="n">
        <v>4.7</v>
      </c>
      <c r="G268" s="26" t="s">
        <v>1400</v>
      </c>
      <c r="H268" s="6" t="s">
        <v>133</v>
      </c>
    </row>
    <row r="269" customFormat="false" ht="16.5" hidden="false" customHeight="true" outlineLevel="0" collapsed="false">
      <c r="A269" s="26" t="s">
        <v>633</v>
      </c>
      <c r="B269" s="27" t="s">
        <v>1358</v>
      </c>
      <c r="C269" s="26" t="n">
        <v>20</v>
      </c>
      <c r="D269" s="9" t="s">
        <v>1401</v>
      </c>
      <c r="E269" s="26" t="s">
        <v>1402</v>
      </c>
      <c r="F269" s="26" t="n">
        <v>11.6</v>
      </c>
      <c r="G269" s="26" t="s">
        <v>930</v>
      </c>
      <c r="H269" s="6" t="s">
        <v>66</v>
      </c>
    </row>
    <row r="270" customFormat="false" ht="16.5" hidden="false" customHeight="true" outlineLevel="0" collapsed="false">
      <c r="A270" s="26" t="s">
        <v>633</v>
      </c>
      <c r="B270" s="27" t="s">
        <v>1358</v>
      </c>
      <c r="C270" s="26" t="n">
        <v>21</v>
      </c>
      <c r="D270" s="9" t="s">
        <v>1403</v>
      </c>
      <c r="E270" s="26" t="s">
        <v>1404</v>
      </c>
      <c r="F270" s="26" t="n">
        <v>13.3</v>
      </c>
      <c r="G270" s="26" t="s">
        <v>687</v>
      </c>
      <c r="H270" s="6" t="s">
        <v>82</v>
      </c>
    </row>
    <row r="271" customFormat="false" ht="16.5" hidden="false" customHeight="true" outlineLevel="0" collapsed="false">
      <c r="A271" s="26" t="s">
        <v>633</v>
      </c>
      <c r="B271" s="27" t="s">
        <v>1358</v>
      </c>
      <c r="C271" s="26" t="n">
        <v>22</v>
      </c>
      <c r="D271" s="9" t="s">
        <v>1405</v>
      </c>
      <c r="E271" s="26" t="s">
        <v>1406</v>
      </c>
      <c r="F271" s="26" t="n">
        <v>6.8</v>
      </c>
      <c r="G271" s="26" t="s">
        <v>687</v>
      </c>
      <c r="H271" s="6" t="s">
        <v>82</v>
      </c>
    </row>
    <row r="272" customFormat="false" ht="16.5" hidden="false" customHeight="true" outlineLevel="0" collapsed="false">
      <c r="A272" s="26" t="s">
        <v>633</v>
      </c>
      <c r="B272" s="27" t="s">
        <v>1358</v>
      </c>
      <c r="C272" s="26" t="n">
        <v>23</v>
      </c>
      <c r="D272" s="9" t="s">
        <v>1407</v>
      </c>
      <c r="E272" s="26" t="s">
        <v>1408</v>
      </c>
      <c r="F272" s="26" t="n">
        <v>7.3</v>
      </c>
      <c r="G272" s="26" t="s">
        <v>678</v>
      </c>
      <c r="H272" s="6" t="s">
        <v>61</v>
      </c>
    </row>
    <row r="273" customFormat="false" ht="16.5" hidden="false" customHeight="true" outlineLevel="0" collapsed="false">
      <c r="A273" s="26" t="s">
        <v>633</v>
      </c>
      <c r="B273" s="27" t="s">
        <v>1358</v>
      </c>
      <c r="C273" s="26" t="n">
        <v>24</v>
      </c>
      <c r="D273" s="9" t="s">
        <v>1409</v>
      </c>
      <c r="E273" s="26" t="s">
        <v>1410</v>
      </c>
      <c r="F273" s="26" t="n">
        <v>6.5</v>
      </c>
      <c r="G273" s="26" t="s">
        <v>678</v>
      </c>
      <c r="H273" s="6" t="s">
        <v>61</v>
      </c>
    </row>
    <row r="274" customFormat="false" ht="16.5" hidden="false" customHeight="true" outlineLevel="0" collapsed="false">
      <c r="A274" s="26" t="s">
        <v>633</v>
      </c>
      <c r="B274" s="27" t="s">
        <v>1358</v>
      </c>
      <c r="C274" s="26" t="n">
        <v>25</v>
      </c>
      <c r="D274" s="9" t="s">
        <v>1411</v>
      </c>
      <c r="E274" s="26" t="s">
        <v>1412</v>
      </c>
      <c r="F274" s="26" t="n">
        <v>8.1</v>
      </c>
      <c r="G274" s="26" t="s">
        <v>678</v>
      </c>
      <c r="H274" s="6" t="s">
        <v>61</v>
      </c>
    </row>
    <row r="275" customFormat="false" ht="16.5" hidden="false" customHeight="true" outlineLevel="0" collapsed="false">
      <c r="A275" s="26" t="s">
        <v>633</v>
      </c>
      <c r="B275" s="27" t="s">
        <v>1358</v>
      </c>
      <c r="C275" s="26" t="n">
        <v>26</v>
      </c>
      <c r="D275" s="9" t="s">
        <v>1413</v>
      </c>
      <c r="E275" s="26" t="s">
        <v>1414</v>
      </c>
      <c r="F275" s="26" t="n">
        <v>6.4</v>
      </c>
      <c r="G275" s="26" t="s">
        <v>681</v>
      </c>
      <c r="H275" s="6" t="s">
        <v>71</v>
      </c>
    </row>
    <row r="276" customFormat="false" ht="16.5" hidden="false" customHeight="true" outlineLevel="0" collapsed="false">
      <c r="A276" s="26" t="s">
        <v>633</v>
      </c>
      <c r="B276" s="27" t="s">
        <v>1358</v>
      </c>
      <c r="C276" s="26" t="n">
        <v>27</v>
      </c>
      <c r="D276" s="9" t="s">
        <v>1415</v>
      </c>
      <c r="E276" s="26" t="s">
        <v>1416</v>
      </c>
      <c r="F276" s="26" t="n">
        <v>7.3</v>
      </c>
      <c r="G276" s="26" t="s">
        <v>681</v>
      </c>
      <c r="H276" s="6" t="s">
        <v>71</v>
      </c>
    </row>
    <row r="277" customFormat="false" ht="16.5" hidden="false" customHeight="true" outlineLevel="0" collapsed="false">
      <c r="A277" s="26" t="s">
        <v>633</v>
      </c>
      <c r="B277" s="27" t="s">
        <v>1358</v>
      </c>
      <c r="C277" s="26" t="n">
        <v>28</v>
      </c>
      <c r="D277" s="9" t="s">
        <v>1417</v>
      </c>
      <c r="E277" s="26" t="s">
        <v>1418</v>
      </c>
      <c r="F277" s="26" t="n">
        <v>7</v>
      </c>
      <c r="G277" s="26" t="s">
        <v>681</v>
      </c>
      <c r="H277" s="6" t="s">
        <v>71</v>
      </c>
    </row>
    <row r="278" customFormat="false" ht="16.5" hidden="false" customHeight="true" outlineLevel="0" collapsed="false">
      <c r="A278" s="26" t="s">
        <v>633</v>
      </c>
      <c r="B278" s="27" t="s">
        <v>1358</v>
      </c>
      <c r="C278" s="26" t="n">
        <v>29</v>
      </c>
      <c r="D278" s="9" t="s">
        <v>1419</v>
      </c>
      <c r="E278" s="26" t="s">
        <v>1420</v>
      </c>
      <c r="F278" s="26" t="n">
        <v>7.2</v>
      </c>
      <c r="G278" s="26" t="s">
        <v>681</v>
      </c>
      <c r="H278" s="6" t="s">
        <v>71</v>
      </c>
    </row>
    <row r="279" customFormat="false" ht="16.5" hidden="false" customHeight="true" outlineLevel="0" collapsed="false">
      <c r="A279" s="26" t="s">
        <v>633</v>
      </c>
      <c r="B279" s="27" t="s">
        <v>1358</v>
      </c>
      <c r="C279" s="26" t="n">
        <v>30</v>
      </c>
      <c r="D279" s="9" t="s">
        <v>1421</v>
      </c>
      <c r="E279" s="26" t="s">
        <v>1422</v>
      </c>
      <c r="F279" s="26" t="n">
        <v>5.8</v>
      </c>
      <c r="G279" s="26" t="s">
        <v>681</v>
      </c>
      <c r="H279" s="6" t="s">
        <v>71</v>
      </c>
    </row>
    <row r="280" customFormat="false" ht="16.5" hidden="false" customHeight="true" outlineLevel="0" collapsed="false">
      <c r="A280" s="26" t="s">
        <v>633</v>
      </c>
      <c r="B280" s="27" t="s">
        <v>1358</v>
      </c>
      <c r="C280" s="26" t="n">
        <v>31</v>
      </c>
      <c r="D280" s="9" t="s">
        <v>1423</v>
      </c>
      <c r="E280" s="26" t="s">
        <v>1424</v>
      </c>
      <c r="F280" s="26" t="n">
        <v>5.8</v>
      </c>
      <c r="G280" s="26" t="s">
        <v>681</v>
      </c>
      <c r="H280" s="6" t="s">
        <v>71</v>
      </c>
    </row>
    <row r="281" customFormat="false" ht="16.5" hidden="false" customHeight="true" outlineLevel="0" collapsed="false">
      <c r="A281" s="26" t="s">
        <v>633</v>
      </c>
      <c r="B281" s="27" t="s">
        <v>1358</v>
      </c>
      <c r="C281" s="26" t="n">
        <v>32</v>
      </c>
      <c r="D281" s="9" t="s">
        <v>1425</v>
      </c>
      <c r="E281" s="26" t="s">
        <v>1426</v>
      </c>
      <c r="F281" s="26" t="n">
        <v>7.9</v>
      </c>
      <c r="G281" s="26" t="s">
        <v>681</v>
      </c>
      <c r="H281" s="6" t="s">
        <v>71</v>
      </c>
    </row>
    <row r="282" customFormat="false" ht="16.5" hidden="false" customHeight="true" outlineLevel="0" collapsed="false">
      <c r="A282" s="26" t="s">
        <v>633</v>
      </c>
      <c r="B282" s="27" t="s">
        <v>1358</v>
      </c>
      <c r="C282" s="26" t="n">
        <v>33</v>
      </c>
      <c r="D282" s="9" t="s">
        <v>1427</v>
      </c>
      <c r="E282" s="26" t="s">
        <v>1428</v>
      </c>
      <c r="F282" s="26" t="n">
        <v>11.5</v>
      </c>
      <c r="G282" s="26" t="s">
        <v>684</v>
      </c>
      <c r="H282" s="6" t="s">
        <v>78</v>
      </c>
    </row>
    <row r="283" customFormat="false" ht="30" hidden="false" customHeight="true" outlineLevel="0" collapsed="false">
      <c r="A283" s="26" t="s">
        <v>633</v>
      </c>
      <c r="B283" s="27" t="s">
        <v>1358</v>
      </c>
      <c r="C283" s="26" t="n">
        <v>34</v>
      </c>
      <c r="D283" s="9" t="s">
        <v>1429</v>
      </c>
      <c r="E283" s="26" t="s">
        <v>1430</v>
      </c>
      <c r="F283" s="26" t="n">
        <v>3.3</v>
      </c>
      <c r="G283" s="26" t="s">
        <v>696</v>
      </c>
      <c r="H283" s="6" t="s">
        <v>88</v>
      </c>
    </row>
    <row r="284" customFormat="false" ht="16.5" hidden="false" customHeight="true" outlineLevel="0" collapsed="false">
      <c r="A284" s="26" t="s">
        <v>633</v>
      </c>
      <c r="B284" s="27" t="s">
        <v>1358</v>
      </c>
      <c r="C284" s="26" t="n">
        <v>35</v>
      </c>
      <c r="D284" s="9" t="s">
        <v>1431</v>
      </c>
      <c r="E284" s="26" t="s">
        <v>1432</v>
      </c>
      <c r="F284" s="26" t="n">
        <v>9.8</v>
      </c>
      <c r="G284" s="26" t="s">
        <v>696</v>
      </c>
      <c r="H284" s="6" t="s">
        <v>88</v>
      </c>
    </row>
    <row r="285" customFormat="false" ht="16.5" hidden="false" customHeight="true" outlineLevel="0" collapsed="false">
      <c r="A285" s="26" t="s">
        <v>633</v>
      </c>
      <c r="B285" s="27" t="s">
        <v>1358</v>
      </c>
      <c r="C285" s="26" t="n">
        <v>36</v>
      </c>
      <c r="D285" s="9" t="s">
        <v>1433</v>
      </c>
      <c r="E285" s="26" t="s">
        <v>1434</v>
      </c>
      <c r="F285" s="26" t="n">
        <v>8.9</v>
      </c>
      <c r="G285" s="26" t="s">
        <v>696</v>
      </c>
      <c r="H285" s="6" t="s">
        <v>88</v>
      </c>
    </row>
    <row r="286" customFormat="false" ht="16.5" hidden="false" customHeight="true" outlineLevel="0" collapsed="false">
      <c r="A286" s="26" t="s">
        <v>633</v>
      </c>
      <c r="B286" s="27" t="s">
        <v>1358</v>
      </c>
      <c r="C286" s="26" t="n">
        <v>37</v>
      </c>
      <c r="D286" s="9" t="s">
        <v>1435</v>
      </c>
      <c r="E286" s="26" t="s">
        <v>1436</v>
      </c>
      <c r="F286" s="26" t="n">
        <v>11.9</v>
      </c>
      <c r="G286" s="26" t="s">
        <v>696</v>
      </c>
      <c r="H286" s="6" t="s">
        <v>88</v>
      </c>
    </row>
    <row r="287" customFormat="false" ht="16.5" hidden="false" customHeight="true" outlineLevel="0" collapsed="false">
      <c r="A287" s="26" t="s">
        <v>633</v>
      </c>
      <c r="B287" s="27" t="s">
        <v>1358</v>
      </c>
      <c r="C287" s="26" t="n">
        <v>38</v>
      </c>
      <c r="D287" s="9" t="s">
        <v>1437</v>
      </c>
      <c r="E287" s="26" t="s">
        <v>1438</v>
      </c>
      <c r="F287" s="26" t="n">
        <v>10.9</v>
      </c>
      <c r="G287" s="26" t="s">
        <v>696</v>
      </c>
      <c r="H287" s="6" t="s">
        <v>88</v>
      </c>
    </row>
    <row r="288" customFormat="false" ht="16.5" hidden="false" customHeight="true" outlineLevel="0" collapsed="false">
      <c r="A288" s="26" t="s">
        <v>633</v>
      </c>
      <c r="B288" s="27" t="s">
        <v>1358</v>
      </c>
      <c r="C288" s="26" t="n">
        <v>39</v>
      </c>
      <c r="D288" s="9" t="s">
        <v>1439</v>
      </c>
      <c r="E288" s="26" t="s">
        <v>1440</v>
      </c>
      <c r="F288" s="26" t="n">
        <v>14.9</v>
      </c>
      <c r="G288" s="26" t="s">
        <v>696</v>
      </c>
      <c r="H288" s="6" t="s">
        <v>88</v>
      </c>
    </row>
    <row r="289" customFormat="false" ht="16.5" hidden="false" customHeight="true" outlineLevel="0" collapsed="false">
      <c r="A289" s="26" t="s">
        <v>633</v>
      </c>
      <c r="B289" s="27" t="s">
        <v>1358</v>
      </c>
      <c r="C289" s="26" t="n">
        <v>40</v>
      </c>
      <c r="D289" s="9" t="s">
        <v>1441</v>
      </c>
      <c r="E289" s="26" t="s">
        <v>1442</v>
      </c>
      <c r="F289" s="26" t="n">
        <v>4.1</v>
      </c>
      <c r="G289" s="26" t="s">
        <v>699</v>
      </c>
      <c r="H289" s="6" t="s">
        <v>95</v>
      </c>
    </row>
    <row r="290" customFormat="false" ht="16.5" hidden="false" customHeight="true" outlineLevel="0" collapsed="false">
      <c r="A290" s="26" t="s">
        <v>633</v>
      </c>
      <c r="B290" s="27" t="s">
        <v>1358</v>
      </c>
      <c r="C290" s="26" t="n">
        <v>41</v>
      </c>
      <c r="D290" s="9" t="s">
        <v>1443</v>
      </c>
      <c r="E290" s="26" t="s">
        <v>1444</v>
      </c>
      <c r="F290" s="26" t="n">
        <v>11.4</v>
      </c>
      <c r="G290" s="26" t="s">
        <v>699</v>
      </c>
      <c r="H290" s="6" t="s">
        <v>95</v>
      </c>
    </row>
    <row r="291" customFormat="false" ht="16.5" hidden="false" customHeight="true" outlineLevel="0" collapsed="false">
      <c r="A291" s="26" t="s">
        <v>633</v>
      </c>
      <c r="B291" s="27" t="s">
        <v>1358</v>
      </c>
      <c r="C291" s="26" t="n">
        <v>42</v>
      </c>
      <c r="D291" s="9" t="s">
        <v>1445</v>
      </c>
      <c r="E291" s="26" t="s">
        <v>1446</v>
      </c>
      <c r="F291" s="26" t="n">
        <v>10.9</v>
      </c>
      <c r="G291" s="26" t="s">
        <v>699</v>
      </c>
      <c r="H291" s="6" t="s">
        <v>95</v>
      </c>
    </row>
    <row r="292" customFormat="false" ht="16.5" hidden="false" customHeight="true" outlineLevel="0" collapsed="false">
      <c r="A292" s="26" t="s">
        <v>633</v>
      </c>
      <c r="B292" s="27" t="s">
        <v>1358</v>
      </c>
      <c r="C292" s="26" t="n">
        <v>43</v>
      </c>
      <c r="D292" s="9" t="s">
        <v>1447</v>
      </c>
      <c r="E292" s="26" t="s">
        <v>1448</v>
      </c>
      <c r="F292" s="26" t="n">
        <v>11.2</v>
      </c>
      <c r="G292" s="26" t="s">
        <v>699</v>
      </c>
      <c r="H292" s="6" t="s">
        <v>95</v>
      </c>
    </row>
    <row r="293" customFormat="false" ht="16.5" hidden="false" customHeight="true" outlineLevel="0" collapsed="false">
      <c r="A293" s="26" t="s">
        <v>633</v>
      </c>
      <c r="B293" s="27" t="s">
        <v>1358</v>
      </c>
      <c r="C293" s="26" t="n">
        <v>44</v>
      </c>
      <c r="D293" s="9" t="s">
        <v>1449</v>
      </c>
      <c r="E293" s="26" t="s">
        <v>1450</v>
      </c>
      <c r="F293" s="26" t="n">
        <v>9.3</v>
      </c>
      <c r="G293" s="26" t="s">
        <v>699</v>
      </c>
      <c r="H293" s="6" t="s">
        <v>95</v>
      </c>
    </row>
    <row r="294" customFormat="false" ht="16.5" hidden="false" customHeight="true" outlineLevel="0" collapsed="false">
      <c r="A294" s="26" t="s">
        <v>633</v>
      </c>
      <c r="B294" s="27" t="s">
        <v>1358</v>
      </c>
      <c r="C294" s="26" t="n">
        <v>45</v>
      </c>
      <c r="D294" s="9" t="s">
        <v>1451</v>
      </c>
      <c r="E294" s="26" t="s">
        <v>1452</v>
      </c>
      <c r="F294" s="26" t="n">
        <v>10.5</v>
      </c>
      <c r="G294" s="26" t="s">
        <v>699</v>
      </c>
      <c r="H294" s="6" t="s">
        <v>95</v>
      </c>
    </row>
    <row r="295" customFormat="false" ht="30" hidden="false" customHeight="true" outlineLevel="0" collapsed="false">
      <c r="A295" s="26" t="s">
        <v>633</v>
      </c>
      <c r="B295" s="27" t="s">
        <v>1358</v>
      </c>
      <c r="C295" s="26" t="n">
        <v>46</v>
      </c>
      <c r="D295" s="9" t="s">
        <v>1453</v>
      </c>
      <c r="E295" s="26" t="s">
        <v>1422</v>
      </c>
      <c r="F295" s="26" t="n">
        <v>5.8</v>
      </c>
      <c r="G295" s="26" t="s">
        <v>1454</v>
      </c>
      <c r="H295" s="6" t="s">
        <v>608</v>
      </c>
    </row>
    <row r="296" customFormat="false" ht="16.5" hidden="false" customHeight="true" outlineLevel="0" collapsed="false">
      <c r="A296" s="26" t="s">
        <v>633</v>
      </c>
      <c r="B296" s="27" t="s">
        <v>1358</v>
      </c>
      <c r="C296" s="26" t="n">
        <v>47</v>
      </c>
      <c r="D296" s="9" t="s">
        <v>1455</v>
      </c>
      <c r="E296" s="26" t="s">
        <v>1456</v>
      </c>
      <c r="F296" s="26" t="n">
        <v>12.7</v>
      </c>
      <c r="G296" s="26" t="s">
        <v>1454</v>
      </c>
      <c r="H296" s="6" t="s">
        <v>608</v>
      </c>
    </row>
    <row r="297" customFormat="false" ht="16.5" hidden="false" customHeight="true" outlineLevel="0" collapsed="false">
      <c r="A297" s="26" t="s">
        <v>633</v>
      </c>
      <c r="B297" s="27" t="s">
        <v>1358</v>
      </c>
      <c r="C297" s="26" t="n">
        <v>48</v>
      </c>
      <c r="D297" s="9" t="s">
        <v>1457</v>
      </c>
      <c r="E297" s="26" t="s">
        <v>1458</v>
      </c>
      <c r="F297" s="26" t="n">
        <v>6.5</v>
      </c>
      <c r="G297" s="26" t="s">
        <v>1400</v>
      </c>
      <c r="H297" s="6" t="s">
        <v>133</v>
      </c>
    </row>
    <row r="298" customFormat="false" ht="16.5" hidden="false" customHeight="true" outlineLevel="0" collapsed="false">
      <c r="A298" s="26" t="s">
        <v>633</v>
      </c>
      <c r="B298" s="27" t="s">
        <v>1358</v>
      </c>
      <c r="C298" s="26" t="n">
        <v>49</v>
      </c>
      <c r="D298" s="9" t="s">
        <v>1459</v>
      </c>
      <c r="E298" s="26" t="s">
        <v>1375</v>
      </c>
      <c r="F298" s="26" t="n">
        <v>6.2</v>
      </c>
      <c r="G298" s="26" t="s">
        <v>1400</v>
      </c>
      <c r="H298" s="6" t="s">
        <v>133</v>
      </c>
    </row>
    <row r="299" customFormat="false" ht="16.5" hidden="false" customHeight="true" outlineLevel="0" collapsed="false">
      <c r="A299" s="26" t="s">
        <v>633</v>
      </c>
      <c r="B299" s="27" t="s">
        <v>1358</v>
      </c>
      <c r="C299" s="26" t="n">
        <v>50</v>
      </c>
      <c r="D299" s="9" t="s">
        <v>1460</v>
      </c>
      <c r="E299" s="26" t="s">
        <v>1461</v>
      </c>
      <c r="F299" s="26" t="n">
        <v>7.4</v>
      </c>
      <c r="G299" s="26" t="s">
        <v>1400</v>
      </c>
      <c r="H299" s="6" t="s">
        <v>133</v>
      </c>
    </row>
    <row r="300" customFormat="false" ht="16.5" hidden="false" customHeight="true" outlineLevel="0" collapsed="false">
      <c r="A300" s="26" t="s">
        <v>633</v>
      </c>
      <c r="B300" s="27" t="s">
        <v>1358</v>
      </c>
      <c r="C300" s="26" t="n">
        <v>51</v>
      </c>
      <c r="D300" s="9" t="s">
        <v>1462</v>
      </c>
      <c r="E300" s="26" t="s">
        <v>1463</v>
      </c>
      <c r="F300" s="26" t="n">
        <v>7.7</v>
      </c>
      <c r="G300" s="26" t="s">
        <v>1400</v>
      </c>
      <c r="H300" s="6" t="s">
        <v>133</v>
      </c>
    </row>
    <row r="301" customFormat="false" ht="16.5" hidden="false" customHeight="true" outlineLevel="0" collapsed="false">
      <c r="A301" s="26" t="s">
        <v>633</v>
      </c>
      <c r="B301" s="27" t="s">
        <v>1358</v>
      </c>
      <c r="C301" s="26" t="n">
        <v>52</v>
      </c>
      <c r="D301" s="9" t="s">
        <v>1464</v>
      </c>
      <c r="E301" s="26" t="s">
        <v>1465</v>
      </c>
      <c r="F301" s="26" t="n">
        <v>8.5</v>
      </c>
      <c r="G301" s="26" t="s">
        <v>1400</v>
      </c>
      <c r="H301" s="6" t="s">
        <v>133</v>
      </c>
    </row>
    <row r="302" customFormat="false" ht="16.5" hidden="false" customHeight="true" outlineLevel="0" collapsed="false">
      <c r="A302" s="26" t="s">
        <v>633</v>
      </c>
      <c r="B302" s="27" t="s">
        <v>1358</v>
      </c>
      <c r="C302" s="26" t="n">
        <v>53</v>
      </c>
      <c r="D302" s="9" t="s">
        <v>1466</v>
      </c>
      <c r="E302" s="26" t="s">
        <v>1467</v>
      </c>
      <c r="F302" s="26" t="n">
        <v>8.4</v>
      </c>
      <c r="G302" s="26" t="s">
        <v>1400</v>
      </c>
      <c r="H302" s="6" t="s">
        <v>133</v>
      </c>
    </row>
    <row r="303" customFormat="false" ht="16.5" hidden="false" customHeight="true" outlineLevel="0" collapsed="false">
      <c r="A303" s="26" t="s">
        <v>633</v>
      </c>
      <c r="B303" s="27" t="s">
        <v>1358</v>
      </c>
      <c r="C303" s="26" t="n">
        <v>54</v>
      </c>
      <c r="D303" s="9" t="s">
        <v>1468</v>
      </c>
      <c r="E303" s="26" t="s">
        <v>1469</v>
      </c>
      <c r="F303" s="26" t="n">
        <v>14.6</v>
      </c>
      <c r="G303" s="26" t="s">
        <v>1400</v>
      </c>
      <c r="H303" s="6" t="s">
        <v>133</v>
      </c>
    </row>
    <row r="304" customFormat="false" ht="16.5" hidden="false" customHeight="true" outlineLevel="0" collapsed="false">
      <c r="A304" s="26" t="s">
        <v>633</v>
      </c>
      <c r="B304" s="27" t="s">
        <v>1358</v>
      </c>
      <c r="C304" s="26" t="n">
        <v>55</v>
      </c>
      <c r="D304" s="9" t="s">
        <v>1470</v>
      </c>
      <c r="E304" s="26" t="s">
        <v>1471</v>
      </c>
      <c r="F304" s="26" t="n">
        <v>8.4</v>
      </c>
      <c r="G304" s="26" t="s">
        <v>1400</v>
      </c>
      <c r="H304" s="6" t="s">
        <v>133</v>
      </c>
    </row>
    <row r="305" customFormat="false" ht="16.5" hidden="false" customHeight="true" outlineLevel="0" collapsed="false">
      <c r="A305" s="26" t="s">
        <v>633</v>
      </c>
      <c r="B305" s="27" t="s">
        <v>1358</v>
      </c>
      <c r="C305" s="26" t="n">
        <v>56</v>
      </c>
      <c r="D305" s="9" t="s">
        <v>1472</v>
      </c>
      <c r="E305" s="26" t="s">
        <v>1473</v>
      </c>
      <c r="F305" s="26" t="n">
        <v>10.6</v>
      </c>
      <c r="G305" s="26" t="s">
        <v>1400</v>
      </c>
      <c r="H305" s="6" t="s">
        <v>133</v>
      </c>
    </row>
    <row r="306" customFormat="false" ht="16.5" hidden="false" customHeight="true" outlineLevel="0" collapsed="false">
      <c r="A306" s="26" t="s">
        <v>633</v>
      </c>
      <c r="B306" s="27" t="s">
        <v>1358</v>
      </c>
      <c r="C306" s="26" t="n">
        <v>57</v>
      </c>
      <c r="D306" s="9" t="s">
        <v>1474</v>
      </c>
      <c r="E306" s="26" t="s">
        <v>1475</v>
      </c>
      <c r="F306" s="26" t="n">
        <v>7.5</v>
      </c>
      <c r="G306" s="26" t="s">
        <v>1400</v>
      </c>
      <c r="H306" s="6" t="s">
        <v>133</v>
      </c>
    </row>
    <row r="307" customFormat="false" ht="16.5" hidden="false" customHeight="true" outlineLevel="0" collapsed="false">
      <c r="A307" s="26" t="s">
        <v>633</v>
      </c>
      <c r="B307" s="27" t="s">
        <v>1358</v>
      </c>
      <c r="C307" s="26" t="n">
        <v>58</v>
      </c>
      <c r="D307" s="9" t="s">
        <v>1476</v>
      </c>
      <c r="E307" s="26" t="s">
        <v>1477</v>
      </c>
      <c r="F307" s="26" t="n">
        <v>5.2</v>
      </c>
      <c r="G307" s="26" t="s">
        <v>1400</v>
      </c>
      <c r="H307" s="6" t="s">
        <v>133</v>
      </c>
    </row>
    <row r="308" customFormat="false" ht="16.5" hidden="false" customHeight="true" outlineLevel="0" collapsed="false">
      <c r="A308" s="26" t="s">
        <v>633</v>
      </c>
      <c r="B308" s="27" t="s">
        <v>1358</v>
      </c>
      <c r="C308" s="26" t="n">
        <v>59</v>
      </c>
      <c r="D308" s="9" t="s">
        <v>1478</v>
      </c>
      <c r="E308" s="26" t="s">
        <v>1479</v>
      </c>
      <c r="F308" s="26" t="n">
        <v>5.3</v>
      </c>
      <c r="G308" s="26" t="s">
        <v>1400</v>
      </c>
      <c r="H308" s="6" t="s">
        <v>133</v>
      </c>
    </row>
    <row r="309" customFormat="false" ht="16.5" hidden="false" customHeight="true" outlineLevel="0" collapsed="false">
      <c r="A309" s="26" t="s">
        <v>633</v>
      </c>
      <c r="B309" s="27" t="s">
        <v>1358</v>
      </c>
      <c r="C309" s="26" t="n">
        <v>60</v>
      </c>
      <c r="D309" s="9" t="s">
        <v>1480</v>
      </c>
      <c r="E309" s="26" t="s">
        <v>1481</v>
      </c>
      <c r="F309" s="26" t="n">
        <v>9.2</v>
      </c>
      <c r="G309" s="26" t="s">
        <v>1400</v>
      </c>
      <c r="H309" s="6" t="s">
        <v>133</v>
      </c>
    </row>
    <row r="310" customFormat="false" ht="16.5" hidden="false" customHeight="true" outlineLevel="0" collapsed="false">
      <c r="A310" s="26" t="s">
        <v>633</v>
      </c>
      <c r="B310" s="27" t="s">
        <v>1358</v>
      </c>
      <c r="C310" s="26" t="n">
        <v>61</v>
      </c>
      <c r="D310" s="9" t="s">
        <v>1482</v>
      </c>
      <c r="E310" s="26" t="s">
        <v>1483</v>
      </c>
      <c r="F310" s="26" t="n">
        <v>5.7</v>
      </c>
      <c r="G310" s="26" t="s">
        <v>1400</v>
      </c>
      <c r="H310" s="6" t="s">
        <v>133</v>
      </c>
    </row>
    <row r="311" customFormat="false" ht="30" hidden="false" customHeight="true" outlineLevel="0" collapsed="false">
      <c r="A311" s="26" t="s">
        <v>633</v>
      </c>
      <c r="B311" s="27" t="s">
        <v>1358</v>
      </c>
      <c r="C311" s="26" t="n">
        <v>62</v>
      </c>
      <c r="D311" s="9" t="s">
        <v>1484</v>
      </c>
      <c r="E311" s="26" t="s">
        <v>1485</v>
      </c>
      <c r="F311" s="26" t="n">
        <v>6.8</v>
      </c>
      <c r="G311" s="26" t="s">
        <v>1400</v>
      </c>
      <c r="H311" s="6" t="s">
        <v>133</v>
      </c>
    </row>
    <row r="312" customFormat="false" ht="16.5" hidden="false" customHeight="true" outlineLevel="0" collapsed="false">
      <c r="A312" s="26" t="s">
        <v>633</v>
      </c>
      <c r="B312" s="27" t="s">
        <v>1358</v>
      </c>
      <c r="C312" s="26" t="n">
        <v>63</v>
      </c>
      <c r="D312" s="9" t="s">
        <v>1486</v>
      </c>
      <c r="E312" s="26" t="s">
        <v>1487</v>
      </c>
      <c r="F312" s="26" t="n">
        <v>9.4</v>
      </c>
      <c r="G312" s="26" t="s">
        <v>1400</v>
      </c>
      <c r="H312" s="6" t="s">
        <v>133</v>
      </c>
    </row>
    <row r="313" customFormat="false" ht="16.5" hidden="false" customHeight="true" outlineLevel="0" collapsed="false">
      <c r="A313" s="26" t="s">
        <v>633</v>
      </c>
      <c r="B313" s="27" t="s">
        <v>1358</v>
      </c>
      <c r="C313" s="26" t="n">
        <v>64</v>
      </c>
      <c r="D313" s="9" t="s">
        <v>1488</v>
      </c>
      <c r="E313" s="26" t="s">
        <v>1489</v>
      </c>
      <c r="F313" s="26" t="n">
        <v>8.3</v>
      </c>
      <c r="G313" s="26" t="s">
        <v>1400</v>
      </c>
      <c r="H313" s="6" t="s">
        <v>133</v>
      </c>
    </row>
    <row r="314" customFormat="false" ht="16.5" hidden="false" customHeight="true" outlineLevel="0" collapsed="false">
      <c r="A314" s="26" t="s">
        <v>633</v>
      </c>
      <c r="B314" s="27" t="s">
        <v>1358</v>
      </c>
      <c r="C314" s="26" t="n">
        <v>65</v>
      </c>
      <c r="D314" s="9" t="s">
        <v>1490</v>
      </c>
      <c r="E314" s="26" t="s">
        <v>1491</v>
      </c>
      <c r="F314" s="26" t="n">
        <v>6</v>
      </c>
      <c r="G314" s="26" t="s">
        <v>1400</v>
      </c>
      <c r="H314" s="6" t="s">
        <v>133</v>
      </c>
    </row>
    <row r="315" customFormat="false" ht="16.5" hidden="false" customHeight="true" outlineLevel="0" collapsed="false">
      <c r="A315" s="26" t="s">
        <v>633</v>
      </c>
      <c r="B315" s="27" t="s">
        <v>1358</v>
      </c>
      <c r="C315" s="26" t="n">
        <v>66</v>
      </c>
      <c r="D315" s="9" t="s">
        <v>1492</v>
      </c>
      <c r="E315" s="26" t="s">
        <v>1493</v>
      </c>
      <c r="F315" s="26" t="n">
        <v>8.4</v>
      </c>
      <c r="G315" s="26" t="s">
        <v>1400</v>
      </c>
      <c r="H315" s="6" t="s">
        <v>133</v>
      </c>
    </row>
    <row r="316" customFormat="false" ht="16.5" hidden="false" customHeight="true" outlineLevel="0" collapsed="false">
      <c r="A316" s="26" t="s">
        <v>633</v>
      </c>
      <c r="B316" s="27" t="s">
        <v>1358</v>
      </c>
      <c r="C316" s="26" t="n">
        <v>67</v>
      </c>
      <c r="D316" s="9" t="s">
        <v>1494</v>
      </c>
      <c r="E316" s="26" t="s">
        <v>1495</v>
      </c>
      <c r="F316" s="26" t="n">
        <v>11.4</v>
      </c>
      <c r="G316" s="26" t="s">
        <v>1400</v>
      </c>
      <c r="H316" s="6" t="s">
        <v>133</v>
      </c>
    </row>
    <row r="317" customFormat="false" ht="16.5" hidden="false" customHeight="true" outlineLevel="0" collapsed="false">
      <c r="A317" s="26" t="s">
        <v>633</v>
      </c>
      <c r="B317" s="27" t="s">
        <v>1358</v>
      </c>
      <c r="C317" s="26" t="n">
        <v>68</v>
      </c>
      <c r="D317" s="9" t="s">
        <v>1496</v>
      </c>
      <c r="E317" s="26" t="s">
        <v>1497</v>
      </c>
      <c r="F317" s="26" t="n">
        <v>10.5</v>
      </c>
      <c r="G317" s="26" t="s">
        <v>1400</v>
      </c>
      <c r="H317" s="6" t="s">
        <v>133</v>
      </c>
    </row>
    <row r="318" customFormat="false" ht="16.5" hidden="false" customHeight="true" outlineLevel="0" collapsed="false">
      <c r="A318" s="26" t="s">
        <v>633</v>
      </c>
      <c r="B318" s="27" t="s">
        <v>1358</v>
      </c>
      <c r="C318" s="26" t="n">
        <v>69</v>
      </c>
      <c r="D318" s="9" t="s">
        <v>1498</v>
      </c>
      <c r="E318" s="26" t="s">
        <v>1375</v>
      </c>
      <c r="F318" s="26" t="n">
        <v>6.2</v>
      </c>
      <c r="G318" s="26" t="s">
        <v>1400</v>
      </c>
      <c r="H318" s="6" t="s">
        <v>133</v>
      </c>
    </row>
    <row r="319" customFormat="false" ht="16.5" hidden="false" customHeight="true" outlineLevel="0" collapsed="false">
      <c r="A319" s="26" t="s">
        <v>633</v>
      </c>
      <c r="B319" s="27" t="s">
        <v>1358</v>
      </c>
      <c r="C319" s="26" t="n">
        <v>70</v>
      </c>
      <c r="D319" s="9" t="s">
        <v>1499</v>
      </c>
      <c r="E319" s="26" t="s">
        <v>1500</v>
      </c>
      <c r="F319" s="26" t="n">
        <v>7</v>
      </c>
      <c r="G319" s="26" t="s">
        <v>1400</v>
      </c>
      <c r="H319" s="6" t="s">
        <v>133</v>
      </c>
    </row>
    <row r="320" customFormat="false" ht="16.5" hidden="false" customHeight="true" outlineLevel="0" collapsed="false">
      <c r="A320" s="26" t="s">
        <v>633</v>
      </c>
      <c r="B320" s="27" t="s">
        <v>1358</v>
      </c>
      <c r="C320" s="26" t="n">
        <v>71</v>
      </c>
      <c r="D320" s="9" t="s">
        <v>1501</v>
      </c>
      <c r="E320" s="26" t="s">
        <v>1502</v>
      </c>
      <c r="F320" s="26" t="n">
        <v>5.5</v>
      </c>
      <c r="G320" s="26" t="s">
        <v>1400</v>
      </c>
      <c r="H320" s="6" t="s">
        <v>133</v>
      </c>
    </row>
    <row r="321" customFormat="false" ht="16.5" hidden="false" customHeight="true" outlineLevel="0" collapsed="false">
      <c r="A321" s="26" t="s">
        <v>633</v>
      </c>
      <c r="B321" s="27" t="s">
        <v>1358</v>
      </c>
      <c r="C321" s="26" t="n">
        <v>72</v>
      </c>
      <c r="D321" s="9" t="s">
        <v>1503</v>
      </c>
      <c r="E321" s="26" t="s">
        <v>1504</v>
      </c>
      <c r="F321" s="26" t="n">
        <v>11.8</v>
      </c>
      <c r="G321" s="26" t="s">
        <v>1400</v>
      </c>
      <c r="H321" s="6" t="s">
        <v>133</v>
      </c>
    </row>
    <row r="322" customFormat="false" ht="16.5" hidden="false" customHeight="true" outlineLevel="0" collapsed="false">
      <c r="A322" s="26" t="s">
        <v>633</v>
      </c>
      <c r="B322" s="27" t="s">
        <v>1358</v>
      </c>
      <c r="C322" s="26" t="n">
        <v>73</v>
      </c>
      <c r="D322" s="9" t="s">
        <v>1505</v>
      </c>
      <c r="E322" s="26" t="s">
        <v>1506</v>
      </c>
      <c r="F322" s="26" t="n">
        <v>9.2</v>
      </c>
      <c r="G322" s="26" t="s">
        <v>1400</v>
      </c>
      <c r="H322" s="6" t="s">
        <v>133</v>
      </c>
    </row>
    <row r="323" customFormat="false" ht="30" hidden="false" customHeight="true" outlineLevel="0" collapsed="false">
      <c r="A323" s="26" t="s">
        <v>633</v>
      </c>
      <c r="B323" s="27" t="s">
        <v>1358</v>
      </c>
      <c r="C323" s="26" t="n">
        <v>74</v>
      </c>
      <c r="D323" s="9" t="s">
        <v>1507</v>
      </c>
      <c r="E323" s="26" t="s">
        <v>1508</v>
      </c>
      <c r="F323" s="26" t="n">
        <v>8.3</v>
      </c>
      <c r="G323" s="26" t="s">
        <v>1400</v>
      </c>
      <c r="H323" s="6" t="s">
        <v>133</v>
      </c>
    </row>
    <row r="324" customFormat="false" ht="30" hidden="false" customHeight="true" outlineLevel="0" collapsed="false">
      <c r="A324" s="26" t="s">
        <v>633</v>
      </c>
      <c r="B324" s="27" t="s">
        <v>1358</v>
      </c>
      <c r="C324" s="26" t="n">
        <v>75</v>
      </c>
      <c r="D324" s="9" t="s">
        <v>1509</v>
      </c>
      <c r="E324" s="26" t="s">
        <v>1510</v>
      </c>
      <c r="F324" s="26" t="n">
        <v>9.9</v>
      </c>
      <c r="G324" s="26" t="s">
        <v>1400</v>
      </c>
      <c r="H324" s="6" t="s">
        <v>133</v>
      </c>
    </row>
    <row r="325" customFormat="false" ht="16.5" hidden="false" customHeight="true" outlineLevel="0" collapsed="false">
      <c r="A325" s="26" t="s">
        <v>633</v>
      </c>
      <c r="B325" s="27" t="s">
        <v>1358</v>
      </c>
      <c r="C325" s="26" t="n">
        <v>76</v>
      </c>
      <c r="D325" s="9" t="s">
        <v>1511</v>
      </c>
      <c r="E325" s="26" t="s">
        <v>1489</v>
      </c>
      <c r="F325" s="26" t="n">
        <v>8.3</v>
      </c>
      <c r="G325" s="26" t="s">
        <v>1400</v>
      </c>
      <c r="H325" s="6" t="s">
        <v>133</v>
      </c>
    </row>
    <row r="326" customFormat="false" ht="16.5" hidden="false" customHeight="true" outlineLevel="0" collapsed="false">
      <c r="A326" s="26" t="s">
        <v>633</v>
      </c>
      <c r="B326" s="27" t="s">
        <v>1358</v>
      </c>
      <c r="C326" s="26" t="n">
        <v>77</v>
      </c>
      <c r="D326" s="9" t="s">
        <v>1512</v>
      </c>
      <c r="E326" s="26" t="s">
        <v>1513</v>
      </c>
      <c r="F326" s="26" t="n">
        <v>9.4</v>
      </c>
      <c r="G326" s="26" t="s">
        <v>1400</v>
      </c>
      <c r="H326" s="6" t="s">
        <v>133</v>
      </c>
    </row>
    <row r="327" customFormat="false" ht="16.5" hidden="false" customHeight="true" outlineLevel="0" collapsed="false">
      <c r="A327" s="26" t="s">
        <v>633</v>
      </c>
      <c r="B327" s="27" t="s">
        <v>1358</v>
      </c>
      <c r="C327" s="26" t="n">
        <v>78</v>
      </c>
      <c r="D327" s="9" t="s">
        <v>1514</v>
      </c>
      <c r="E327" s="26" t="s">
        <v>1406</v>
      </c>
      <c r="F327" s="26" t="n">
        <v>6.8</v>
      </c>
      <c r="G327" s="26" t="s">
        <v>1400</v>
      </c>
      <c r="H327" s="6" t="s">
        <v>133</v>
      </c>
    </row>
    <row r="328" customFormat="false" ht="30" hidden="false" customHeight="true" outlineLevel="0" collapsed="false">
      <c r="A328" s="26" t="s">
        <v>633</v>
      </c>
      <c r="B328" s="27" t="s">
        <v>1358</v>
      </c>
      <c r="C328" s="26" t="n">
        <v>79</v>
      </c>
      <c r="D328" s="9" t="s">
        <v>1515</v>
      </c>
      <c r="E328" s="26" t="s">
        <v>1516</v>
      </c>
      <c r="F328" s="26" t="n">
        <v>8.3</v>
      </c>
      <c r="G328" s="26" t="s">
        <v>1400</v>
      </c>
      <c r="H328" s="6" t="s">
        <v>133</v>
      </c>
    </row>
    <row r="329" customFormat="false" ht="16.5" hidden="false" customHeight="true" outlineLevel="0" collapsed="false">
      <c r="A329" s="26" t="s">
        <v>633</v>
      </c>
      <c r="B329" s="27" t="s">
        <v>1358</v>
      </c>
      <c r="C329" s="26" t="n">
        <v>80</v>
      </c>
      <c r="D329" s="9" t="s">
        <v>1517</v>
      </c>
      <c r="E329" s="26" t="s">
        <v>1518</v>
      </c>
      <c r="F329" s="26" t="n">
        <v>9.5</v>
      </c>
      <c r="G329" s="26" t="s">
        <v>1400</v>
      </c>
      <c r="H329" s="6" t="s">
        <v>133</v>
      </c>
    </row>
    <row r="330" customFormat="false" ht="30" hidden="false" customHeight="true" outlineLevel="0" collapsed="false">
      <c r="A330" s="26" t="s">
        <v>633</v>
      </c>
      <c r="B330" s="27" t="s">
        <v>1358</v>
      </c>
      <c r="C330" s="26" t="n">
        <v>81</v>
      </c>
      <c r="D330" s="9" t="s">
        <v>1519</v>
      </c>
      <c r="E330" s="26" t="s">
        <v>1520</v>
      </c>
      <c r="F330" s="26" t="n">
        <v>9.3</v>
      </c>
      <c r="G330" s="26" t="s">
        <v>1400</v>
      </c>
      <c r="H330" s="6" t="s">
        <v>133</v>
      </c>
    </row>
    <row r="331" customFormat="false" ht="16.5" hidden="false" customHeight="true" outlineLevel="0" collapsed="false">
      <c r="A331" s="26" t="s">
        <v>633</v>
      </c>
      <c r="B331" s="27" t="s">
        <v>1358</v>
      </c>
      <c r="C331" s="26" t="n">
        <v>82</v>
      </c>
      <c r="D331" s="9" t="s">
        <v>1521</v>
      </c>
      <c r="E331" s="26" t="s">
        <v>1522</v>
      </c>
      <c r="F331" s="26" t="n">
        <v>9.8</v>
      </c>
      <c r="G331" s="26" t="s">
        <v>1400</v>
      </c>
      <c r="H331" s="6" t="s">
        <v>133</v>
      </c>
    </row>
    <row r="332" customFormat="false" ht="16.5" hidden="false" customHeight="true" outlineLevel="0" collapsed="false">
      <c r="A332" s="26" t="s">
        <v>633</v>
      </c>
      <c r="B332" s="27" t="s">
        <v>1358</v>
      </c>
      <c r="C332" s="26" t="n">
        <v>83</v>
      </c>
      <c r="D332" s="9" t="s">
        <v>1523</v>
      </c>
      <c r="E332" s="26" t="s">
        <v>1524</v>
      </c>
      <c r="F332" s="26" t="n">
        <v>10.1</v>
      </c>
      <c r="G332" s="26" t="s">
        <v>1400</v>
      </c>
      <c r="H332" s="6" t="s">
        <v>133</v>
      </c>
    </row>
    <row r="333" customFormat="false" ht="16.5" hidden="false" customHeight="true" outlineLevel="0" collapsed="false">
      <c r="A333" s="26" t="s">
        <v>633</v>
      </c>
      <c r="B333" s="27" t="s">
        <v>1358</v>
      </c>
      <c r="C333" s="26" t="n">
        <v>84</v>
      </c>
      <c r="D333" s="9" t="s">
        <v>1525</v>
      </c>
      <c r="E333" s="26" t="s">
        <v>1526</v>
      </c>
      <c r="F333" s="26" t="n">
        <v>15</v>
      </c>
      <c r="G333" s="26" t="s">
        <v>1454</v>
      </c>
      <c r="H333" s="6" t="s">
        <v>608</v>
      </c>
    </row>
    <row r="334" customFormat="false" ht="16.5" hidden="false" customHeight="true" outlineLevel="0" collapsed="false">
      <c r="A334" s="26" t="s">
        <v>633</v>
      </c>
      <c r="B334" s="27" t="s">
        <v>1358</v>
      </c>
      <c r="C334" s="26" t="n">
        <v>85</v>
      </c>
      <c r="D334" s="9" t="s">
        <v>1527</v>
      </c>
      <c r="E334" s="26" t="s">
        <v>1528</v>
      </c>
      <c r="F334" s="26" t="n">
        <v>12.3</v>
      </c>
      <c r="G334" s="26" t="s">
        <v>1400</v>
      </c>
      <c r="H334" s="6" t="s">
        <v>133</v>
      </c>
    </row>
    <row r="335" customFormat="false" ht="16.5" hidden="false" customHeight="true" outlineLevel="0" collapsed="false">
      <c r="A335" s="26" t="s">
        <v>633</v>
      </c>
      <c r="B335" s="27" t="s">
        <v>1358</v>
      </c>
      <c r="C335" s="26" t="n">
        <v>86</v>
      </c>
      <c r="D335" s="9" t="s">
        <v>1529</v>
      </c>
      <c r="E335" s="26" t="s">
        <v>1530</v>
      </c>
      <c r="F335" s="26" t="n">
        <v>11.7</v>
      </c>
      <c r="G335" s="26" t="s">
        <v>1400</v>
      </c>
      <c r="H335" s="6" t="s">
        <v>133</v>
      </c>
    </row>
    <row r="336" customFormat="false" ht="16.5" hidden="false" customHeight="true" outlineLevel="0" collapsed="false">
      <c r="A336" s="26" t="s">
        <v>633</v>
      </c>
      <c r="B336" s="27" t="s">
        <v>1358</v>
      </c>
      <c r="C336" s="26" t="n">
        <v>87</v>
      </c>
      <c r="D336" s="9" t="s">
        <v>1531</v>
      </c>
      <c r="E336" s="26" t="s">
        <v>1532</v>
      </c>
      <c r="F336" s="26" t="n">
        <v>5.9</v>
      </c>
      <c r="G336" s="26" t="s">
        <v>1400</v>
      </c>
      <c r="H336" s="6" t="s">
        <v>133</v>
      </c>
    </row>
    <row r="337" customFormat="false" ht="16.5" hidden="false" customHeight="true" outlineLevel="0" collapsed="false">
      <c r="A337" s="26" t="s">
        <v>633</v>
      </c>
      <c r="B337" s="27" t="s">
        <v>1358</v>
      </c>
      <c r="C337" s="26" t="n">
        <v>88</v>
      </c>
      <c r="D337" s="9" t="s">
        <v>1533</v>
      </c>
      <c r="E337" s="26" t="s">
        <v>1534</v>
      </c>
      <c r="F337" s="26" t="n">
        <v>10.3</v>
      </c>
      <c r="G337" s="26" t="s">
        <v>1400</v>
      </c>
      <c r="H337" s="6" t="s">
        <v>133</v>
      </c>
    </row>
    <row r="338" customFormat="false" ht="16.5" hidden="false" customHeight="true" outlineLevel="0" collapsed="false">
      <c r="A338" s="26" t="s">
        <v>633</v>
      </c>
      <c r="B338" s="27" t="s">
        <v>1358</v>
      </c>
      <c r="C338" s="26" t="n">
        <v>89</v>
      </c>
      <c r="D338" s="9" t="s">
        <v>1535</v>
      </c>
      <c r="E338" s="26" t="s">
        <v>1536</v>
      </c>
      <c r="F338" s="26" t="n">
        <v>10.7</v>
      </c>
      <c r="G338" s="26" t="s">
        <v>1400</v>
      </c>
      <c r="H338" s="6" t="s">
        <v>133</v>
      </c>
    </row>
    <row r="339" customFormat="false" ht="30" hidden="false" customHeight="true" outlineLevel="0" collapsed="false">
      <c r="A339" s="26" t="s">
        <v>633</v>
      </c>
      <c r="B339" s="27" t="s">
        <v>1358</v>
      </c>
      <c r="C339" s="26" t="n">
        <v>90</v>
      </c>
      <c r="D339" s="9" t="s">
        <v>1537</v>
      </c>
      <c r="E339" s="26" t="s">
        <v>1416</v>
      </c>
      <c r="F339" s="26" t="n">
        <v>7.3</v>
      </c>
      <c r="G339" s="26" t="s">
        <v>1400</v>
      </c>
      <c r="H339" s="6" t="s">
        <v>133</v>
      </c>
    </row>
    <row r="340" customFormat="false" ht="16.5" hidden="false" customHeight="true" outlineLevel="0" collapsed="false">
      <c r="A340" s="26" t="s">
        <v>633</v>
      </c>
      <c r="B340" s="27" t="s">
        <v>1358</v>
      </c>
      <c r="C340" s="26" t="n">
        <v>91</v>
      </c>
      <c r="D340" s="9" t="s">
        <v>1538</v>
      </c>
      <c r="E340" s="26" t="s">
        <v>1539</v>
      </c>
      <c r="F340" s="26" t="n">
        <v>17.1</v>
      </c>
      <c r="G340" s="26" t="s">
        <v>702</v>
      </c>
      <c r="H340" s="6" t="s">
        <v>101</v>
      </c>
    </row>
    <row r="341" customFormat="false" ht="16.5" hidden="false" customHeight="true" outlineLevel="0" collapsed="false">
      <c r="A341" s="26" t="s">
        <v>633</v>
      </c>
      <c r="B341" s="27" t="s">
        <v>1358</v>
      </c>
      <c r="C341" s="26" t="n">
        <v>92</v>
      </c>
      <c r="D341" s="9" t="s">
        <v>1540</v>
      </c>
      <c r="E341" s="26" t="s">
        <v>1541</v>
      </c>
      <c r="F341" s="26" t="n">
        <v>5.1</v>
      </c>
      <c r="G341" s="26" t="s">
        <v>1542</v>
      </c>
      <c r="H341" s="6" t="s">
        <v>107</v>
      </c>
    </row>
    <row r="342" customFormat="false" ht="30" hidden="false" customHeight="true" outlineLevel="0" collapsed="false">
      <c r="A342" s="26" t="s">
        <v>633</v>
      </c>
      <c r="B342" s="27" t="s">
        <v>1358</v>
      </c>
      <c r="C342" s="26" t="n">
        <v>93</v>
      </c>
      <c r="D342" s="9" t="s">
        <v>1543</v>
      </c>
      <c r="E342" s="26" t="s">
        <v>1544</v>
      </c>
      <c r="F342" s="26" t="n">
        <v>7.7</v>
      </c>
      <c r="G342" s="26" t="s">
        <v>1542</v>
      </c>
      <c r="H342" s="6" t="s">
        <v>107</v>
      </c>
    </row>
    <row r="343" customFormat="false" ht="16.5" hidden="false" customHeight="true" outlineLevel="0" collapsed="false">
      <c r="A343" s="26" t="s">
        <v>633</v>
      </c>
      <c r="B343" s="27" t="s">
        <v>1358</v>
      </c>
      <c r="C343" s="26" t="n">
        <v>94</v>
      </c>
      <c r="D343" s="9" t="s">
        <v>1545</v>
      </c>
      <c r="E343" s="26" t="s">
        <v>1546</v>
      </c>
      <c r="F343" s="26" t="n">
        <v>7.7</v>
      </c>
      <c r="G343" s="26" t="s">
        <v>1542</v>
      </c>
      <c r="H343" s="6" t="s">
        <v>107</v>
      </c>
    </row>
    <row r="344" customFormat="false" ht="16.5" hidden="false" customHeight="true" outlineLevel="0" collapsed="false">
      <c r="A344" s="26" t="s">
        <v>633</v>
      </c>
      <c r="B344" s="27" t="s">
        <v>1358</v>
      </c>
      <c r="C344" s="26" t="n">
        <v>95</v>
      </c>
      <c r="D344" s="9" t="s">
        <v>1547</v>
      </c>
      <c r="E344" s="26" t="s">
        <v>1548</v>
      </c>
      <c r="F344" s="26" t="n">
        <v>7</v>
      </c>
      <c r="G344" s="26" t="s">
        <v>1542</v>
      </c>
      <c r="H344" s="6" t="s">
        <v>107</v>
      </c>
    </row>
    <row r="345" customFormat="false" ht="16.5" hidden="false" customHeight="true" outlineLevel="0" collapsed="false">
      <c r="A345" s="26" t="s">
        <v>633</v>
      </c>
      <c r="B345" s="27" t="s">
        <v>1358</v>
      </c>
      <c r="C345" s="26" t="n">
        <v>96</v>
      </c>
      <c r="D345" s="9" t="s">
        <v>1549</v>
      </c>
      <c r="E345" s="26" t="s">
        <v>1550</v>
      </c>
      <c r="F345" s="26" t="n">
        <v>7.6</v>
      </c>
      <c r="G345" s="26" t="s">
        <v>1542</v>
      </c>
      <c r="H345" s="6" t="s">
        <v>107</v>
      </c>
    </row>
    <row r="346" customFormat="false" ht="16.5" hidden="false" customHeight="true" outlineLevel="0" collapsed="false">
      <c r="A346" s="26" t="s">
        <v>633</v>
      </c>
      <c r="B346" s="27" t="s">
        <v>1358</v>
      </c>
      <c r="C346" s="26" t="n">
        <v>97</v>
      </c>
      <c r="D346" s="9" t="s">
        <v>1551</v>
      </c>
      <c r="E346" s="26" t="s">
        <v>1552</v>
      </c>
      <c r="F346" s="26" t="n">
        <v>10.3</v>
      </c>
      <c r="G346" s="26" t="s">
        <v>1542</v>
      </c>
      <c r="H346" s="6" t="s">
        <v>107</v>
      </c>
    </row>
    <row r="347" customFormat="false" ht="16.5" hidden="false" customHeight="true" outlineLevel="0" collapsed="false">
      <c r="A347" s="26" t="s">
        <v>633</v>
      </c>
      <c r="B347" s="27" t="s">
        <v>1358</v>
      </c>
      <c r="C347" s="26" t="n">
        <v>98</v>
      </c>
      <c r="D347" s="9" t="s">
        <v>1553</v>
      </c>
      <c r="E347" s="26" t="s">
        <v>1554</v>
      </c>
      <c r="F347" s="26" t="n">
        <v>12.5</v>
      </c>
      <c r="G347" s="26" t="s">
        <v>1542</v>
      </c>
      <c r="H347" s="6" t="s">
        <v>107</v>
      </c>
    </row>
    <row r="348" customFormat="false" ht="16.5" hidden="false" customHeight="true" outlineLevel="0" collapsed="false">
      <c r="A348" s="26" t="s">
        <v>633</v>
      </c>
      <c r="B348" s="27" t="s">
        <v>1358</v>
      </c>
      <c r="C348" s="26" t="n">
        <v>99</v>
      </c>
      <c r="D348" s="9" t="s">
        <v>1555</v>
      </c>
      <c r="E348" s="26" t="s">
        <v>1471</v>
      </c>
      <c r="F348" s="26" t="n">
        <v>8.4</v>
      </c>
      <c r="G348" s="26" t="s">
        <v>1542</v>
      </c>
      <c r="H348" s="6" t="s">
        <v>107</v>
      </c>
    </row>
    <row r="349" customFormat="false" ht="16.5" hidden="false" customHeight="true" outlineLevel="0" collapsed="false">
      <c r="A349" s="26" t="s">
        <v>633</v>
      </c>
      <c r="B349" s="27" t="s">
        <v>1358</v>
      </c>
      <c r="C349" s="26" t="n">
        <v>100</v>
      </c>
      <c r="D349" s="9" t="s">
        <v>1556</v>
      </c>
      <c r="E349" s="26" t="s">
        <v>1557</v>
      </c>
      <c r="F349" s="26" t="n">
        <v>12.7</v>
      </c>
      <c r="G349" s="26" t="s">
        <v>1542</v>
      </c>
      <c r="H349" s="6" t="s">
        <v>107</v>
      </c>
    </row>
    <row r="350" customFormat="false" ht="30" hidden="false" customHeight="true" outlineLevel="0" collapsed="false">
      <c r="A350" s="26" t="s">
        <v>633</v>
      </c>
      <c r="B350" s="27" t="s">
        <v>1358</v>
      </c>
      <c r="C350" s="26" t="n">
        <v>101</v>
      </c>
      <c r="D350" s="9" t="s">
        <v>1558</v>
      </c>
      <c r="E350" s="26" t="s">
        <v>1559</v>
      </c>
      <c r="F350" s="26" t="n">
        <v>8.7</v>
      </c>
      <c r="G350" s="26" t="s">
        <v>1542</v>
      </c>
      <c r="H350" s="6" t="s">
        <v>107</v>
      </c>
    </row>
    <row r="351" customFormat="false" ht="30" hidden="false" customHeight="true" outlineLevel="0" collapsed="false">
      <c r="A351" s="26" t="s">
        <v>633</v>
      </c>
      <c r="B351" s="27" t="s">
        <v>1358</v>
      </c>
      <c r="C351" s="26" t="n">
        <v>102</v>
      </c>
      <c r="D351" s="9" t="s">
        <v>1560</v>
      </c>
      <c r="E351" s="26" t="s">
        <v>1561</v>
      </c>
      <c r="F351" s="26" t="n">
        <v>14</v>
      </c>
      <c r="G351" s="26" t="s">
        <v>1542</v>
      </c>
      <c r="H351" s="6" t="s">
        <v>107</v>
      </c>
    </row>
    <row r="352" customFormat="false" ht="16.5" hidden="false" customHeight="true" outlineLevel="0" collapsed="false">
      <c r="A352" s="26" t="s">
        <v>633</v>
      </c>
      <c r="B352" s="27" t="s">
        <v>1358</v>
      </c>
      <c r="C352" s="26" t="n">
        <v>103</v>
      </c>
      <c r="D352" s="9" t="s">
        <v>1562</v>
      </c>
      <c r="E352" s="26" t="s">
        <v>1563</v>
      </c>
      <c r="F352" s="26" t="n">
        <v>6</v>
      </c>
      <c r="G352" s="26" t="s">
        <v>1542</v>
      </c>
      <c r="H352" s="6" t="s">
        <v>107</v>
      </c>
    </row>
    <row r="353" customFormat="false" ht="16.5" hidden="false" customHeight="true" outlineLevel="0" collapsed="false">
      <c r="A353" s="26" t="s">
        <v>633</v>
      </c>
      <c r="B353" s="27" t="s">
        <v>1358</v>
      </c>
      <c r="C353" s="26" t="n">
        <v>104</v>
      </c>
      <c r="D353" s="9" t="s">
        <v>1564</v>
      </c>
      <c r="E353" s="26" t="s">
        <v>1165</v>
      </c>
      <c r="F353" s="26" t="n">
        <v>8.8</v>
      </c>
      <c r="G353" s="26" t="s">
        <v>1542</v>
      </c>
      <c r="H353" s="6" t="s">
        <v>107</v>
      </c>
    </row>
    <row r="354" customFormat="false" ht="16.5" hidden="false" customHeight="true" outlineLevel="0" collapsed="false">
      <c r="A354" s="26" t="s">
        <v>633</v>
      </c>
      <c r="B354" s="27" t="s">
        <v>1358</v>
      </c>
      <c r="C354" s="26" t="n">
        <v>105</v>
      </c>
      <c r="D354" s="9" t="s">
        <v>1565</v>
      </c>
      <c r="E354" s="26" t="s">
        <v>1566</v>
      </c>
      <c r="F354" s="26" t="n">
        <v>6.9</v>
      </c>
      <c r="G354" s="26" t="s">
        <v>1542</v>
      </c>
      <c r="H354" s="6" t="s">
        <v>107</v>
      </c>
    </row>
    <row r="355" customFormat="false" ht="16.5" hidden="false" customHeight="true" outlineLevel="0" collapsed="false">
      <c r="A355" s="26" t="s">
        <v>633</v>
      </c>
      <c r="B355" s="27" t="s">
        <v>1358</v>
      </c>
      <c r="C355" s="26" t="n">
        <v>106</v>
      </c>
      <c r="D355" s="9" t="s">
        <v>1567</v>
      </c>
      <c r="E355" s="26" t="s">
        <v>1568</v>
      </c>
      <c r="F355" s="26" t="n">
        <v>11.6</v>
      </c>
      <c r="G355" s="26" t="s">
        <v>1542</v>
      </c>
      <c r="H355" s="6" t="s">
        <v>107</v>
      </c>
    </row>
    <row r="356" customFormat="false" ht="16.5" hidden="false" customHeight="true" outlineLevel="0" collapsed="false">
      <c r="A356" s="26" t="s">
        <v>633</v>
      </c>
      <c r="B356" s="27" t="s">
        <v>1358</v>
      </c>
      <c r="C356" s="26" t="n">
        <v>107</v>
      </c>
      <c r="D356" s="9" t="s">
        <v>1569</v>
      </c>
      <c r="E356" s="26" t="s">
        <v>1570</v>
      </c>
      <c r="F356" s="26" t="n">
        <v>6.2</v>
      </c>
      <c r="G356" s="26" t="s">
        <v>1542</v>
      </c>
      <c r="H356" s="6" t="s">
        <v>107</v>
      </c>
    </row>
    <row r="357" customFormat="false" ht="16.5" hidden="false" customHeight="true" outlineLevel="0" collapsed="false">
      <c r="A357" s="26" t="s">
        <v>633</v>
      </c>
      <c r="B357" s="27" t="s">
        <v>1358</v>
      </c>
      <c r="C357" s="26" t="n">
        <v>108</v>
      </c>
      <c r="D357" s="9" t="s">
        <v>1571</v>
      </c>
      <c r="E357" s="26" t="s">
        <v>1572</v>
      </c>
      <c r="F357" s="26" t="n">
        <v>16.2</v>
      </c>
      <c r="G357" s="26" t="s">
        <v>1400</v>
      </c>
      <c r="H357" s="6" t="s">
        <v>133</v>
      </c>
    </row>
    <row r="358" customFormat="false" ht="16.5" hidden="false" customHeight="true" outlineLevel="0" collapsed="false">
      <c r="A358" s="26" t="s">
        <v>633</v>
      </c>
      <c r="B358" s="27" t="s">
        <v>1358</v>
      </c>
      <c r="C358" s="26" t="n">
        <v>109</v>
      </c>
      <c r="D358" s="9" t="s">
        <v>1573</v>
      </c>
      <c r="E358" s="26" t="s">
        <v>1574</v>
      </c>
      <c r="F358" s="26" t="n">
        <v>10.2</v>
      </c>
      <c r="G358" s="26" t="s">
        <v>1400</v>
      </c>
      <c r="H358" s="6" t="s">
        <v>133</v>
      </c>
    </row>
    <row r="359" customFormat="false" ht="16.5" hidden="false" customHeight="true" outlineLevel="0" collapsed="false">
      <c r="A359" s="26" t="s">
        <v>633</v>
      </c>
      <c r="B359" s="27" t="s">
        <v>1358</v>
      </c>
      <c r="C359" s="26" t="n">
        <v>110</v>
      </c>
      <c r="D359" s="9" t="s">
        <v>1575</v>
      </c>
      <c r="E359" s="26" t="s">
        <v>1576</v>
      </c>
      <c r="F359" s="26" t="n">
        <v>13.2</v>
      </c>
      <c r="G359" s="26" t="s">
        <v>1400</v>
      </c>
      <c r="H359" s="6" t="s">
        <v>133</v>
      </c>
    </row>
    <row r="360" customFormat="false" ht="16.5" hidden="false" customHeight="true" outlineLevel="0" collapsed="false">
      <c r="A360" s="26" t="s">
        <v>633</v>
      </c>
      <c r="B360" s="27" t="s">
        <v>1358</v>
      </c>
      <c r="C360" s="26" t="n">
        <v>111</v>
      </c>
      <c r="D360" s="9" t="s">
        <v>1577</v>
      </c>
      <c r="E360" s="26" t="s">
        <v>1578</v>
      </c>
      <c r="F360" s="26" t="n">
        <v>11.3</v>
      </c>
      <c r="G360" s="26" t="s">
        <v>1400</v>
      </c>
      <c r="H360" s="6" t="s">
        <v>133</v>
      </c>
    </row>
    <row r="361" customFormat="false" ht="16.5" hidden="false" customHeight="true" outlineLevel="0" collapsed="false">
      <c r="A361" s="26" t="s">
        <v>633</v>
      </c>
      <c r="B361" s="27" t="s">
        <v>1358</v>
      </c>
      <c r="C361" s="26" t="n">
        <v>112</v>
      </c>
      <c r="D361" s="9" t="s">
        <v>1579</v>
      </c>
      <c r="E361" s="26" t="s">
        <v>1580</v>
      </c>
      <c r="F361" s="26" t="n">
        <v>12.7</v>
      </c>
      <c r="G361" s="26" t="s">
        <v>1400</v>
      </c>
      <c r="H361" s="6" t="s">
        <v>133</v>
      </c>
    </row>
    <row r="362" customFormat="false" ht="16.5" hidden="false" customHeight="true" outlineLevel="0" collapsed="false">
      <c r="A362" s="26" t="s">
        <v>633</v>
      </c>
      <c r="B362" s="27" t="s">
        <v>1358</v>
      </c>
      <c r="C362" s="26" t="n">
        <v>113</v>
      </c>
      <c r="D362" s="9" t="s">
        <v>1581</v>
      </c>
      <c r="E362" s="26" t="s">
        <v>1582</v>
      </c>
      <c r="F362" s="26" t="n">
        <v>8</v>
      </c>
      <c r="G362" s="26" t="s">
        <v>1400</v>
      </c>
      <c r="H362" s="6" t="s">
        <v>133</v>
      </c>
    </row>
    <row r="363" customFormat="false" ht="16.5" hidden="false" customHeight="true" outlineLevel="0" collapsed="false">
      <c r="A363" s="26" t="s">
        <v>633</v>
      </c>
      <c r="B363" s="27" t="s">
        <v>1358</v>
      </c>
      <c r="C363" s="26" t="n">
        <v>114</v>
      </c>
      <c r="D363" s="9" t="s">
        <v>1583</v>
      </c>
      <c r="E363" s="26" t="s">
        <v>1584</v>
      </c>
      <c r="F363" s="26" t="n">
        <v>6.2</v>
      </c>
      <c r="G363" s="26" t="s">
        <v>1400</v>
      </c>
      <c r="H363" s="6" t="s">
        <v>133</v>
      </c>
    </row>
    <row r="364" customFormat="false" ht="16.5" hidden="false" customHeight="true" outlineLevel="0" collapsed="false">
      <c r="A364" s="26" t="s">
        <v>633</v>
      </c>
      <c r="B364" s="27" t="s">
        <v>1358</v>
      </c>
      <c r="C364" s="26" t="n">
        <v>115</v>
      </c>
      <c r="D364" s="9" t="s">
        <v>1585</v>
      </c>
      <c r="E364" s="26" t="s">
        <v>1586</v>
      </c>
      <c r="F364" s="26" t="n">
        <v>11.3</v>
      </c>
      <c r="G364" s="26" t="s">
        <v>1400</v>
      </c>
      <c r="H364" s="6" t="s">
        <v>133</v>
      </c>
    </row>
    <row r="365" customFormat="false" ht="16.5" hidden="false" customHeight="true" outlineLevel="0" collapsed="false">
      <c r="A365" s="26" t="s">
        <v>633</v>
      </c>
      <c r="B365" s="27" t="s">
        <v>1358</v>
      </c>
      <c r="C365" s="26" t="n">
        <v>116</v>
      </c>
      <c r="D365" s="9" t="s">
        <v>1587</v>
      </c>
      <c r="E365" s="26" t="s">
        <v>1588</v>
      </c>
      <c r="F365" s="26" t="n">
        <v>6.4</v>
      </c>
      <c r="G365" s="26" t="s">
        <v>1400</v>
      </c>
      <c r="H365" s="6" t="s">
        <v>133</v>
      </c>
    </row>
    <row r="366" customFormat="false" ht="16.5" hidden="false" customHeight="true" outlineLevel="0" collapsed="false">
      <c r="A366" s="26" t="s">
        <v>633</v>
      </c>
      <c r="B366" s="27" t="s">
        <v>1358</v>
      </c>
      <c r="C366" s="26" t="n">
        <v>117</v>
      </c>
      <c r="D366" s="9" t="s">
        <v>1589</v>
      </c>
      <c r="E366" s="26" t="s">
        <v>1574</v>
      </c>
      <c r="F366" s="26" t="n">
        <v>10.2</v>
      </c>
      <c r="G366" s="26" t="s">
        <v>1400</v>
      </c>
      <c r="H366" s="6" t="s">
        <v>133</v>
      </c>
    </row>
    <row r="367" customFormat="false" ht="16.5" hidden="false" customHeight="true" outlineLevel="0" collapsed="false">
      <c r="A367" s="26" t="s">
        <v>633</v>
      </c>
      <c r="B367" s="27" t="s">
        <v>1358</v>
      </c>
      <c r="C367" s="26" t="n">
        <v>118</v>
      </c>
      <c r="D367" s="9" t="s">
        <v>1590</v>
      </c>
      <c r="E367" s="26" t="s">
        <v>1591</v>
      </c>
      <c r="F367" s="26" t="n">
        <v>9.2</v>
      </c>
      <c r="G367" s="26" t="s">
        <v>1400</v>
      </c>
      <c r="H367" s="6" t="s">
        <v>133</v>
      </c>
    </row>
    <row r="368" customFormat="false" ht="16.5" hidden="false" customHeight="true" outlineLevel="0" collapsed="false">
      <c r="A368" s="26" t="s">
        <v>633</v>
      </c>
      <c r="B368" s="27" t="s">
        <v>1358</v>
      </c>
      <c r="C368" s="26" t="n">
        <v>119</v>
      </c>
      <c r="D368" s="9" t="s">
        <v>1592</v>
      </c>
      <c r="E368" s="26" t="s">
        <v>1593</v>
      </c>
      <c r="F368" s="26" t="n">
        <v>7.8</v>
      </c>
      <c r="G368" s="26" t="s">
        <v>1400</v>
      </c>
      <c r="H368" s="6" t="s">
        <v>133</v>
      </c>
    </row>
    <row r="369" customFormat="false" ht="16.5" hidden="false" customHeight="true" outlineLevel="0" collapsed="false">
      <c r="A369" s="26" t="s">
        <v>633</v>
      </c>
      <c r="B369" s="27" t="s">
        <v>1358</v>
      </c>
      <c r="C369" s="26" t="n">
        <v>120</v>
      </c>
      <c r="D369" s="9" t="s">
        <v>1594</v>
      </c>
      <c r="E369" s="26" t="s">
        <v>1595</v>
      </c>
      <c r="F369" s="26" t="n">
        <v>6.5</v>
      </c>
      <c r="G369" s="26" t="s">
        <v>1400</v>
      </c>
      <c r="H369" s="6" t="s">
        <v>133</v>
      </c>
    </row>
    <row r="370" customFormat="false" ht="16.5" hidden="false" customHeight="true" outlineLevel="0" collapsed="false">
      <c r="A370" s="26" t="s">
        <v>633</v>
      </c>
      <c r="B370" s="27" t="s">
        <v>1358</v>
      </c>
      <c r="C370" s="26" t="n">
        <v>121</v>
      </c>
      <c r="D370" s="9" t="s">
        <v>1596</v>
      </c>
      <c r="E370" s="26" t="s">
        <v>1597</v>
      </c>
      <c r="F370" s="26" t="n">
        <v>13.6</v>
      </c>
      <c r="G370" s="26" t="s">
        <v>818</v>
      </c>
      <c r="H370" s="6" t="s">
        <v>118</v>
      </c>
    </row>
    <row r="371" customFormat="false" ht="16.5" hidden="false" customHeight="true" outlineLevel="0" collapsed="false">
      <c r="A371" s="26" t="s">
        <v>633</v>
      </c>
      <c r="B371" s="27" t="s">
        <v>1358</v>
      </c>
      <c r="C371" s="26" t="n">
        <v>122</v>
      </c>
      <c r="D371" s="9" t="s">
        <v>1598</v>
      </c>
      <c r="E371" s="26" t="s">
        <v>1475</v>
      </c>
      <c r="F371" s="26" t="n">
        <v>7.5</v>
      </c>
      <c r="G371" s="26" t="s">
        <v>1599</v>
      </c>
      <c r="H371" s="6" t="s">
        <v>1600</v>
      </c>
    </row>
    <row r="372" customFormat="false" ht="16.5" hidden="false" customHeight="true" outlineLevel="0" collapsed="false">
      <c r="A372" s="26" t="s">
        <v>633</v>
      </c>
      <c r="B372" s="27" t="s">
        <v>1358</v>
      </c>
      <c r="C372" s="26" t="n">
        <v>123</v>
      </c>
      <c r="D372" s="9" t="s">
        <v>1601</v>
      </c>
      <c r="E372" s="26" t="s">
        <v>1602</v>
      </c>
      <c r="F372" s="26" t="n">
        <v>12.6</v>
      </c>
      <c r="G372" s="26" t="s">
        <v>818</v>
      </c>
      <c r="H372" s="6" t="s">
        <v>118</v>
      </c>
    </row>
    <row r="373" customFormat="false" ht="16.5" hidden="false" customHeight="true" outlineLevel="0" collapsed="false">
      <c r="A373" s="26" t="s">
        <v>633</v>
      </c>
      <c r="B373" s="27" t="s">
        <v>1358</v>
      </c>
      <c r="C373" s="26" t="n">
        <v>124</v>
      </c>
      <c r="D373" s="9" t="s">
        <v>1603</v>
      </c>
      <c r="E373" s="26" t="s">
        <v>1604</v>
      </c>
      <c r="F373" s="26" t="n">
        <v>12.6</v>
      </c>
      <c r="G373" s="26" t="s">
        <v>712</v>
      </c>
      <c r="H373" s="6" t="s">
        <v>125</v>
      </c>
    </row>
    <row r="374" customFormat="false" ht="16.5" hidden="false" customHeight="true" outlineLevel="0" collapsed="false">
      <c r="A374" s="26" t="s">
        <v>633</v>
      </c>
      <c r="B374" s="27" t="s">
        <v>1358</v>
      </c>
      <c r="C374" s="26" t="n">
        <v>125</v>
      </c>
      <c r="D374" s="9" t="s">
        <v>1605</v>
      </c>
      <c r="E374" s="26" t="s">
        <v>1428</v>
      </c>
      <c r="F374" s="26" t="n">
        <v>11.5</v>
      </c>
      <c r="G374" s="26" t="s">
        <v>712</v>
      </c>
      <c r="H374" s="6" t="s">
        <v>125</v>
      </c>
    </row>
    <row r="375" customFormat="false" ht="16.5" hidden="false" customHeight="true" outlineLevel="0" collapsed="false">
      <c r="A375" s="26" t="s">
        <v>633</v>
      </c>
      <c r="B375" s="27" t="s">
        <v>1358</v>
      </c>
      <c r="C375" s="26" t="n">
        <v>126</v>
      </c>
      <c r="D375" s="9" t="s">
        <v>1606</v>
      </c>
      <c r="E375" s="26" t="s">
        <v>1607</v>
      </c>
      <c r="F375" s="26" t="n">
        <v>19.2</v>
      </c>
      <c r="G375" s="26" t="s">
        <v>690</v>
      </c>
      <c r="H375" s="6" t="s">
        <v>136</v>
      </c>
    </row>
    <row r="376" customFormat="false" ht="16.5" hidden="false" customHeight="true" outlineLevel="0" collapsed="false">
      <c r="A376" s="26" t="s">
        <v>633</v>
      </c>
      <c r="B376" s="27" t="s">
        <v>1358</v>
      </c>
      <c r="C376" s="26" t="n">
        <v>127</v>
      </c>
      <c r="D376" s="9" t="s">
        <v>1608</v>
      </c>
      <c r="E376" s="26" t="s">
        <v>1609</v>
      </c>
      <c r="F376" s="26" t="n">
        <v>8.7</v>
      </c>
      <c r="G376" s="26" t="s">
        <v>693</v>
      </c>
      <c r="H376" s="6" t="s">
        <v>141</v>
      </c>
    </row>
    <row r="377" customFormat="false" ht="30" hidden="false" customHeight="true" outlineLevel="0" collapsed="false">
      <c r="A377" s="26" t="s">
        <v>633</v>
      </c>
      <c r="B377" s="27" t="s">
        <v>1358</v>
      </c>
      <c r="C377" s="26" t="n">
        <v>128</v>
      </c>
      <c r="D377" s="9" t="s">
        <v>1610</v>
      </c>
      <c r="E377" s="26" t="s">
        <v>765</v>
      </c>
      <c r="F377" s="26" t="n">
        <v>11.8</v>
      </c>
      <c r="G377" s="26" t="s">
        <v>693</v>
      </c>
      <c r="H377" s="6" t="s">
        <v>141</v>
      </c>
    </row>
    <row r="378" customFormat="false" ht="30" hidden="false" customHeight="true" outlineLevel="0" collapsed="false">
      <c r="A378" s="26" t="s">
        <v>633</v>
      </c>
      <c r="B378" s="27" t="s">
        <v>1358</v>
      </c>
      <c r="C378" s="26" t="n">
        <v>129</v>
      </c>
      <c r="D378" s="9" t="s">
        <v>1611</v>
      </c>
      <c r="E378" s="26" t="s">
        <v>1434</v>
      </c>
      <c r="F378" s="26" t="n">
        <v>8.9</v>
      </c>
      <c r="G378" s="26" t="s">
        <v>776</v>
      </c>
      <c r="H378" s="6" t="s">
        <v>147</v>
      </c>
    </row>
    <row r="379" customFormat="false" ht="30" hidden="false" customHeight="true" outlineLevel="0" collapsed="false">
      <c r="A379" s="26" t="s">
        <v>633</v>
      </c>
      <c r="B379" s="27" t="s">
        <v>1358</v>
      </c>
      <c r="C379" s="26" t="n">
        <v>130</v>
      </c>
      <c r="D379" s="9" t="s">
        <v>1612</v>
      </c>
      <c r="E379" s="26" t="s">
        <v>1613</v>
      </c>
      <c r="F379" s="26" t="n">
        <v>10.4</v>
      </c>
      <c r="G379" s="26" t="s">
        <v>687</v>
      </c>
      <c r="H379" s="6" t="s">
        <v>82</v>
      </c>
    </row>
    <row r="380" customFormat="false" ht="30" hidden="false" customHeight="true" outlineLevel="0" collapsed="false">
      <c r="A380" s="26" t="s">
        <v>633</v>
      </c>
      <c r="B380" s="27" t="s">
        <v>1358</v>
      </c>
      <c r="C380" s="26" t="n">
        <v>131</v>
      </c>
      <c r="D380" s="9" t="s">
        <v>1614</v>
      </c>
      <c r="E380" s="26" t="s">
        <v>1615</v>
      </c>
      <c r="F380" s="26" t="n">
        <v>5.8</v>
      </c>
      <c r="G380" s="26" t="s">
        <v>780</v>
      </c>
      <c r="H380" s="6" t="s">
        <v>16</v>
      </c>
    </row>
    <row r="381" customFormat="false" ht="16.5" hidden="false" customHeight="true" outlineLevel="0" collapsed="false">
      <c r="A381" s="26" t="s">
        <v>633</v>
      </c>
      <c r="B381" s="27" t="s">
        <v>1358</v>
      </c>
      <c r="C381" s="26" t="n">
        <v>132</v>
      </c>
      <c r="D381" s="9" t="s">
        <v>1616</v>
      </c>
      <c r="E381" s="26" t="s">
        <v>1617</v>
      </c>
      <c r="F381" s="26" t="n">
        <v>14.8</v>
      </c>
      <c r="G381" s="26" t="s">
        <v>672</v>
      </c>
      <c r="H381" s="6" t="s">
        <v>43</v>
      </c>
    </row>
    <row r="382" customFormat="false" ht="16.5" hidden="false" customHeight="true" outlineLevel="0" collapsed="false">
      <c r="A382" s="26" t="s">
        <v>633</v>
      </c>
      <c r="B382" s="27" t="s">
        <v>1358</v>
      </c>
      <c r="C382" s="26" t="n">
        <v>133</v>
      </c>
      <c r="D382" s="9" t="s">
        <v>1618</v>
      </c>
      <c r="E382" s="26" t="s">
        <v>1619</v>
      </c>
      <c r="F382" s="26" t="n">
        <v>6.3</v>
      </c>
      <c r="G382" s="26" t="s">
        <v>705</v>
      </c>
      <c r="H382" s="6" t="s">
        <v>155</v>
      </c>
    </row>
    <row r="383" customFormat="false" ht="16.5" hidden="false" customHeight="true" outlineLevel="0" collapsed="false">
      <c r="A383" s="26" t="s">
        <v>633</v>
      </c>
      <c r="B383" s="27" t="s">
        <v>1358</v>
      </c>
      <c r="C383" s="26" t="n">
        <v>134</v>
      </c>
      <c r="D383" s="9" t="s">
        <v>1620</v>
      </c>
      <c r="E383" s="26" t="s">
        <v>1621</v>
      </c>
      <c r="F383" s="26" t="n">
        <v>9.7</v>
      </c>
      <c r="G383" s="26" t="s">
        <v>1622</v>
      </c>
      <c r="H383" s="6" t="s">
        <v>161</v>
      </c>
    </row>
    <row r="384" customFormat="false" ht="16.5" hidden="false" customHeight="true" outlineLevel="0" collapsed="false">
      <c r="A384" s="26" t="s">
        <v>633</v>
      </c>
      <c r="B384" s="27" t="s">
        <v>1358</v>
      </c>
      <c r="C384" s="26" t="n">
        <v>135</v>
      </c>
      <c r="D384" s="9" t="s">
        <v>1623</v>
      </c>
      <c r="E384" s="26" t="s">
        <v>1624</v>
      </c>
      <c r="F384" s="26" t="n">
        <v>9</v>
      </c>
      <c r="G384" s="26" t="s">
        <v>721</v>
      </c>
      <c r="H384" s="6" t="s">
        <v>166</v>
      </c>
    </row>
    <row r="385" customFormat="false" ht="16.5" hidden="false" customHeight="true" outlineLevel="0" collapsed="false">
      <c r="A385" s="26" t="s">
        <v>633</v>
      </c>
      <c r="B385" s="27" t="s">
        <v>1358</v>
      </c>
      <c r="C385" s="26" t="n">
        <v>136</v>
      </c>
      <c r="D385" s="9" t="s">
        <v>1625</v>
      </c>
      <c r="E385" s="26" t="s">
        <v>1516</v>
      </c>
      <c r="F385" s="26" t="n">
        <v>8.3</v>
      </c>
      <c r="G385" s="26" t="s">
        <v>721</v>
      </c>
      <c r="H385" s="6" t="s">
        <v>166</v>
      </c>
    </row>
    <row r="386" customFormat="false" ht="16.5" hidden="false" customHeight="true" outlineLevel="0" collapsed="false">
      <c r="A386" s="26" t="s">
        <v>633</v>
      </c>
      <c r="B386" s="27" t="s">
        <v>1358</v>
      </c>
      <c r="C386" s="26" t="n">
        <v>137</v>
      </c>
      <c r="D386" s="9" t="s">
        <v>1626</v>
      </c>
      <c r="E386" s="26" t="s">
        <v>1627</v>
      </c>
      <c r="F386" s="26" t="n">
        <v>8.3</v>
      </c>
      <c r="G386" s="26" t="s">
        <v>721</v>
      </c>
      <c r="H386" s="6" t="s">
        <v>166</v>
      </c>
    </row>
    <row r="387" customFormat="false" ht="16.5" hidden="false" customHeight="true" outlineLevel="0" collapsed="false">
      <c r="A387" s="26" t="s">
        <v>633</v>
      </c>
      <c r="B387" s="27" t="s">
        <v>1358</v>
      </c>
      <c r="C387" s="26" t="n">
        <v>138</v>
      </c>
      <c r="D387" s="9" t="s">
        <v>1628</v>
      </c>
      <c r="E387" s="26" t="s">
        <v>1629</v>
      </c>
      <c r="F387" s="26" t="n">
        <v>7</v>
      </c>
      <c r="G387" s="26" t="s">
        <v>1630</v>
      </c>
      <c r="H387" s="6" t="s">
        <v>1631</v>
      </c>
    </row>
    <row r="388" customFormat="false" ht="16.5" hidden="false" customHeight="true" outlineLevel="0" collapsed="false">
      <c r="A388" s="26" t="s">
        <v>633</v>
      </c>
      <c r="B388" s="27" t="s">
        <v>1358</v>
      </c>
      <c r="C388" s="26" t="n">
        <v>139</v>
      </c>
      <c r="D388" s="9" t="s">
        <v>1632</v>
      </c>
      <c r="E388" s="26" t="s">
        <v>1633</v>
      </c>
      <c r="F388" s="26" t="n">
        <v>7.5</v>
      </c>
      <c r="G388" s="26" t="s">
        <v>721</v>
      </c>
      <c r="H388" s="6" t="s">
        <v>166</v>
      </c>
    </row>
    <row r="389" customFormat="false" ht="16.5" hidden="false" customHeight="true" outlineLevel="0" collapsed="false">
      <c r="A389" s="26" t="s">
        <v>633</v>
      </c>
      <c r="B389" s="27" t="s">
        <v>1358</v>
      </c>
      <c r="C389" s="26" t="n">
        <v>140</v>
      </c>
      <c r="D389" s="9" t="s">
        <v>1634</v>
      </c>
      <c r="E389" s="26" t="s">
        <v>1635</v>
      </c>
      <c r="F389" s="26" t="n">
        <v>11.2</v>
      </c>
      <c r="G389" s="26" t="s">
        <v>721</v>
      </c>
      <c r="H389" s="6" t="s">
        <v>166</v>
      </c>
    </row>
    <row r="390" customFormat="false" ht="16.5" hidden="false" customHeight="true" outlineLevel="0" collapsed="false">
      <c r="A390" s="26" t="s">
        <v>633</v>
      </c>
      <c r="B390" s="27" t="s">
        <v>1358</v>
      </c>
      <c r="C390" s="26" t="n">
        <v>141</v>
      </c>
      <c r="D390" s="9" t="s">
        <v>1636</v>
      </c>
      <c r="E390" s="26" t="s">
        <v>1637</v>
      </c>
      <c r="F390" s="26" t="n">
        <v>8.8</v>
      </c>
      <c r="G390" s="26" t="s">
        <v>1638</v>
      </c>
      <c r="H390" s="6" t="s">
        <v>173</v>
      </c>
    </row>
    <row r="391" customFormat="false" ht="16.5" hidden="false" customHeight="true" outlineLevel="0" collapsed="false">
      <c r="A391" s="26" t="s">
        <v>633</v>
      </c>
      <c r="B391" s="27" t="s">
        <v>1358</v>
      </c>
      <c r="C391" s="26" t="n">
        <v>142</v>
      </c>
      <c r="D391" s="9" t="s">
        <v>1639</v>
      </c>
      <c r="E391" s="26" t="s">
        <v>1640</v>
      </c>
      <c r="F391" s="26" t="n">
        <v>8.2</v>
      </c>
      <c r="G391" s="26" t="s">
        <v>1641</v>
      </c>
      <c r="H391" s="6" t="s">
        <v>1642</v>
      </c>
    </row>
    <row r="392" customFormat="false" ht="16.5" hidden="false" customHeight="true" outlineLevel="0" collapsed="false">
      <c r="A392" s="26" t="s">
        <v>633</v>
      </c>
      <c r="B392" s="27" t="s">
        <v>1358</v>
      </c>
      <c r="C392" s="26" t="n">
        <v>143</v>
      </c>
      <c r="D392" s="9" t="s">
        <v>1643</v>
      </c>
      <c r="E392" s="26" t="s">
        <v>1363</v>
      </c>
      <c r="F392" s="26" t="n">
        <v>7.9</v>
      </c>
      <c r="G392" s="26" t="s">
        <v>1641</v>
      </c>
      <c r="H392" s="6" t="s">
        <v>1642</v>
      </c>
    </row>
    <row r="393" customFormat="false" ht="16.5" hidden="false" customHeight="true" outlineLevel="0" collapsed="false">
      <c r="A393" s="26" t="s">
        <v>633</v>
      </c>
      <c r="B393" s="27" t="s">
        <v>1358</v>
      </c>
      <c r="C393" s="26" t="n">
        <v>144</v>
      </c>
      <c r="D393" s="9" t="s">
        <v>1644</v>
      </c>
      <c r="E393" s="26" t="s">
        <v>1645</v>
      </c>
      <c r="F393" s="26" t="n">
        <v>9.3</v>
      </c>
      <c r="G393" s="26" t="s">
        <v>724</v>
      </c>
      <c r="H393" s="6" t="s">
        <v>192</v>
      </c>
    </row>
    <row r="394" customFormat="false" ht="16.5" hidden="false" customHeight="true" outlineLevel="0" collapsed="false">
      <c r="A394" s="26" t="s">
        <v>633</v>
      </c>
      <c r="B394" s="27" t="s">
        <v>1358</v>
      </c>
      <c r="C394" s="26" t="n">
        <v>145</v>
      </c>
      <c r="D394" s="9" t="s">
        <v>1646</v>
      </c>
      <c r="E394" s="26" t="s">
        <v>1518</v>
      </c>
      <c r="F394" s="26" t="n">
        <v>9.5</v>
      </c>
      <c r="G394" s="26" t="s">
        <v>724</v>
      </c>
      <c r="H394" s="6" t="s">
        <v>192</v>
      </c>
    </row>
    <row r="395" customFormat="false" ht="16.5" hidden="false" customHeight="true" outlineLevel="0" collapsed="false">
      <c r="A395" s="26" t="s">
        <v>633</v>
      </c>
      <c r="B395" s="27" t="s">
        <v>1358</v>
      </c>
      <c r="C395" s="26" t="n">
        <v>146</v>
      </c>
      <c r="D395" s="9" t="s">
        <v>1647</v>
      </c>
      <c r="E395" s="26" t="s">
        <v>1360</v>
      </c>
      <c r="F395" s="26" t="n">
        <v>11.7</v>
      </c>
      <c r="G395" s="26" t="s">
        <v>724</v>
      </c>
      <c r="H395" s="6" t="s">
        <v>192</v>
      </c>
    </row>
    <row r="396" customFormat="false" ht="16.5" hidden="false" customHeight="true" outlineLevel="0" collapsed="false">
      <c r="A396" s="26" t="s">
        <v>633</v>
      </c>
      <c r="B396" s="27" t="s">
        <v>1358</v>
      </c>
      <c r="C396" s="26" t="n">
        <v>147</v>
      </c>
      <c r="D396" s="9" t="s">
        <v>1648</v>
      </c>
      <c r="E396" s="26" t="s">
        <v>1649</v>
      </c>
      <c r="F396" s="26" t="n">
        <v>4</v>
      </c>
      <c r="G396" s="26" t="s">
        <v>724</v>
      </c>
      <c r="H396" s="6" t="s">
        <v>192</v>
      </c>
    </row>
    <row r="397" customFormat="false" ht="16.5" hidden="false" customHeight="true" outlineLevel="0" collapsed="false">
      <c r="A397" s="26" t="s">
        <v>633</v>
      </c>
      <c r="B397" s="27" t="s">
        <v>1358</v>
      </c>
      <c r="C397" s="26" t="n">
        <v>148</v>
      </c>
      <c r="D397" s="9" t="s">
        <v>1650</v>
      </c>
      <c r="E397" s="26" t="s">
        <v>1651</v>
      </c>
      <c r="F397" s="26" t="n">
        <v>8.1</v>
      </c>
      <c r="G397" s="26" t="s">
        <v>724</v>
      </c>
      <c r="H397" s="6" t="s">
        <v>192</v>
      </c>
    </row>
    <row r="398" customFormat="false" ht="16.5" hidden="false" customHeight="true" outlineLevel="0" collapsed="false">
      <c r="A398" s="26" t="s">
        <v>633</v>
      </c>
      <c r="B398" s="27" t="s">
        <v>1358</v>
      </c>
      <c r="C398" s="26" t="n">
        <v>149</v>
      </c>
      <c r="D398" s="9" t="s">
        <v>1652</v>
      </c>
      <c r="E398" s="26" t="s">
        <v>1653</v>
      </c>
      <c r="F398" s="26" t="n">
        <v>14.2</v>
      </c>
      <c r="G398" s="26" t="s">
        <v>906</v>
      </c>
      <c r="H398" s="6" t="s">
        <v>177</v>
      </c>
    </row>
    <row r="399" customFormat="false" ht="16.5" hidden="false" customHeight="true" outlineLevel="0" collapsed="false">
      <c r="A399" s="26" t="s">
        <v>633</v>
      </c>
      <c r="B399" s="27" t="s">
        <v>1358</v>
      </c>
      <c r="C399" s="26" t="n">
        <v>150</v>
      </c>
      <c r="D399" s="9" t="s">
        <v>1654</v>
      </c>
      <c r="E399" s="26" t="s">
        <v>1655</v>
      </c>
      <c r="F399" s="26" t="n">
        <v>14.2</v>
      </c>
      <c r="G399" s="26" t="s">
        <v>906</v>
      </c>
      <c r="H399" s="6" t="s">
        <v>177</v>
      </c>
    </row>
    <row r="400" customFormat="false" ht="16.5" hidden="false" customHeight="true" outlineLevel="0" collapsed="false">
      <c r="A400" s="26" t="s">
        <v>633</v>
      </c>
      <c r="B400" s="27" t="s">
        <v>1358</v>
      </c>
      <c r="C400" s="26" t="n">
        <v>151</v>
      </c>
      <c r="D400" s="9" t="s">
        <v>1656</v>
      </c>
      <c r="E400" s="26" t="s">
        <v>1657</v>
      </c>
      <c r="F400" s="26" t="n">
        <v>4.1</v>
      </c>
      <c r="G400" s="26" t="s">
        <v>913</v>
      </c>
      <c r="H400" s="6" t="s">
        <v>202</v>
      </c>
    </row>
    <row r="401" customFormat="false" ht="16.5" hidden="false" customHeight="true" outlineLevel="0" collapsed="false">
      <c r="A401" s="26" t="s">
        <v>633</v>
      </c>
      <c r="B401" s="27" t="s">
        <v>1358</v>
      </c>
      <c r="C401" s="26" t="n">
        <v>152</v>
      </c>
      <c r="D401" s="9" t="s">
        <v>1658</v>
      </c>
      <c r="E401" s="26" t="s">
        <v>1659</v>
      </c>
      <c r="F401" s="26" t="n">
        <v>10</v>
      </c>
      <c r="G401" s="26" t="s">
        <v>899</v>
      </c>
      <c r="H401" s="6" t="s">
        <v>197</v>
      </c>
    </row>
    <row r="402" customFormat="false" ht="16.5" hidden="false" customHeight="true" outlineLevel="0" collapsed="false">
      <c r="A402" s="26" t="s">
        <v>633</v>
      </c>
      <c r="B402" s="27" t="s">
        <v>1358</v>
      </c>
      <c r="C402" s="26" t="n">
        <v>153</v>
      </c>
      <c r="D402" s="9" t="s">
        <v>1660</v>
      </c>
      <c r="E402" s="26" t="s">
        <v>1661</v>
      </c>
      <c r="F402" s="26" t="n">
        <v>11.3</v>
      </c>
      <c r="G402" s="26" t="s">
        <v>899</v>
      </c>
      <c r="H402" s="6" t="s">
        <v>197</v>
      </c>
    </row>
    <row r="403" customFormat="false" ht="16.5" hidden="false" customHeight="true" outlineLevel="0" collapsed="false">
      <c r="A403" s="26" t="s">
        <v>633</v>
      </c>
      <c r="B403" s="27" t="s">
        <v>1358</v>
      </c>
      <c r="C403" s="26" t="n">
        <v>154</v>
      </c>
      <c r="D403" s="9" t="s">
        <v>1662</v>
      </c>
      <c r="E403" s="26" t="s">
        <v>1663</v>
      </c>
      <c r="F403" s="26" t="n">
        <v>10.8</v>
      </c>
      <c r="G403" s="26" t="s">
        <v>718</v>
      </c>
      <c r="H403" s="6" t="s">
        <v>182</v>
      </c>
    </row>
    <row r="404" customFormat="false" ht="16.5" hidden="false" customHeight="true" outlineLevel="0" collapsed="false">
      <c r="A404" s="26" t="s">
        <v>633</v>
      </c>
      <c r="B404" s="27" t="s">
        <v>1358</v>
      </c>
      <c r="C404" s="26" t="n">
        <v>155</v>
      </c>
      <c r="D404" s="9" t="s">
        <v>1664</v>
      </c>
      <c r="E404" s="26" t="s">
        <v>1485</v>
      </c>
      <c r="F404" s="26" t="n">
        <v>6.8</v>
      </c>
      <c r="G404" s="26" t="s">
        <v>731</v>
      </c>
      <c r="H404" s="6" t="s">
        <v>211</v>
      </c>
    </row>
    <row r="405" customFormat="false" ht="16.5" hidden="false" customHeight="true" outlineLevel="0" collapsed="false">
      <c r="A405" s="26" t="s">
        <v>633</v>
      </c>
      <c r="B405" s="27" t="s">
        <v>1358</v>
      </c>
      <c r="C405" s="26" t="n">
        <v>156</v>
      </c>
      <c r="D405" s="9" t="s">
        <v>1665</v>
      </c>
      <c r="E405" s="26" t="s">
        <v>1666</v>
      </c>
      <c r="F405" s="26" t="n">
        <v>10.8</v>
      </c>
      <c r="G405" s="26" t="s">
        <v>731</v>
      </c>
      <c r="H405" s="6" t="s">
        <v>211</v>
      </c>
    </row>
    <row r="406" customFormat="false" ht="16.5" hidden="false" customHeight="true" outlineLevel="0" collapsed="false">
      <c r="A406" s="26" t="s">
        <v>633</v>
      </c>
      <c r="B406" s="27" t="s">
        <v>1358</v>
      </c>
      <c r="C406" s="26" t="n">
        <v>157</v>
      </c>
      <c r="D406" s="9" t="s">
        <v>1667</v>
      </c>
      <c r="E406" s="26" t="s">
        <v>1668</v>
      </c>
      <c r="F406" s="26" t="n">
        <v>9.1</v>
      </c>
      <c r="G406" s="26" t="s">
        <v>731</v>
      </c>
      <c r="H406" s="6" t="s">
        <v>211</v>
      </c>
    </row>
    <row r="407" customFormat="false" ht="16.5" hidden="false" customHeight="true" outlineLevel="0" collapsed="false">
      <c r="A407" s="26" t="s">
        <v>633</v>
      </c>
      <c r="B407" s="27" t="s">
        <v>1358</v>
      </c>
      <c r="C407" s="26" t="n">
        <v>158</v>
      </c>
      <c r="D407" s="9" t="s">
        <v>1669</v>
      </c>
      <c r="E407" s="26" t="s">
        <v>1670</v>
      </c>
      <c r="F407" s="26" t="n">
        <v>18.8</v>
      </c>
      <c r="G407" s="26" t="s">
        <v>731</v>
      </c>
      <c r="H407" s="6" t="s">
        <v>211</v>
      </c>
    </row>
    <row r="408" customFormat="false" ht="16.5" hidden="false" customHeight="true" outlineLevel="0" collapsed="false">
      <c r="A408" s="26" t="s">
        <v>633</v>
      </c>
      <c r="B408" s="27" t="s">
        <v>1358</v>
      </c>
      <c r="C408" s="26" t="n">
        <v>159</v>
      </c>
      <c r="D408" s="9" t="s">
        <v>1671</v>
      </c>
      <c r="E408" s="26" t="s">
        <v>1672</v>
      </c>
      <c r="F408" s="26" t="n">
        <v>15.2</v>
      </c>
      <c r="G408" s="26" t="s">
        <v>743</v>
      </c>
      <c r="H408" s="6" t="s">
        <v>217</v>
      </c>
    </row>
    <row r="409" customFormat="false" ht="30" hidden="false" customHeight="true" outlineLevel="0" collapsed="false">
      <c r="A409" s="26" t="s">
        <v>633</v>
      </c>
      <c r="B409" s="27" t="s">
        <v>1358</v>
      </c>
      <c r="C409" s="26" t="n">
        <v>160</v>
      </c>
      <c r="D409" s="9" t="s">
        <v>1673</v>
      </c>
      <c r="E409" s="26" t="s">
        <v>1552</v>
      </c>
      <c r="F409" s="26" t="n">
        <v>10.3</v>
      </c>
      <c r="G409" s="26" t="s">
        <v>743</v>
      </c>
      <c r="H409" s="6" t="s">
        <v>217</v>
      </c>
    </row>
    <row r="410" customFormat="false" ht="16.5" hidden="false" customHeight="true" outlineLevel="0" collapsed="false">
      <c r="A410" s="26" t="s">
        <v>633</v>
      </c>
      <c r="B410" s="27" t="s">
        <v>1358</v>
      </c>
      <c r="C410" s="26" t="n">
        <v>161</v>
      </c>
      <c r="D410" s="9" t="s">
        <v>1674</v>
      </c>
      <c r="E410" s="26" t="s">
        <v>1604</v>
      </c>
      <c r="F410" s="26" t="n">
        <v>12.6</v>
      </c>
      <c r="G410" s="26" t="s">
        <v>743</v>
      </c>
      <c r="H410" s="6" t="s">
        <v>217</v>
      </c>
    </row>
    <row r="411" customFormat="false" ht="16.5" hidden="false" customHeight="true" outlineLevel="0" collapsed="false">
      <c r="A411" s="26" t="s">
        <v>633</v>
      </c>
      <c r="B411" s="27" t="s">
        <v>1358</v>
      </c>
      <c r="C411" s="26" t="n">
        <v>162</v>
      </c>
      <c r="D411" s="9" t="s">
        <v>1675</v>
      </c>
      <c r="E411" s="26" t="s">
        <v>1676</v>
      </c>
      <c r="F411" s="26" t="n">
        <v>10.9</v>
      </c>
      <c r="G411" s="26" t="s">
        <v>743</v>
      </c>
      <c r="H411" s="6" t="s">
        <v>217</v>
      </c>
    </row>
    <row r="412" customFormat="false" ht="16.5" hidden="false" customHeight="true" outlineLevel="0" collapsed="false">
      <c r="A412" s="26" t="s">
        <v>633</v>
      </c>
      <c r="B412" s="27" t="s">
        <v>1358</v>
      </c>
      <c r="C412" s="26" t="n">
        <v>163</v>
      </c>
      <c r="D412" s="9" t="s">
        <v>1677</v>
      </c>
      <c r="E412" s="26" t="s">
        <v>1678</v>
      </c>
      <c r="F412" s="26" t="n">
        <v>7.7</v>
      </c>
      <c r="G412" s="26" t="s">
        <v>743</v>
      </c>
      <c r="H412" s="6" t="s">
        <v>217</v>
      </c>
    </row>
    <row r="413" customFormat="false" ht="16.5" hidden="false" customHeight="true" outlineLevel="0" collapsed="false">
      <c r="A413" s="26" t="s">
        <v>633</v>
      </c>
      <c r="B413" s="27" t="s">
        <v>1358</v>
      </c>
      <c r="C413" s="26" t="n">
        <v>164</v>
      </c>
      <c r="D413" s="9" t="s">
        <v>1679</v>
      </c>
      <c r="E413" s="26" t="s">
        <v>1680</v>
      </c>
      <c r="F413" s="26" t="n">
        <v>17.4</v>
      </c>
      <c r="G413" s="26" t="s">
        <v>743</v>
      </c>
      <c r="H413" s="6" t="s">
        <v>217</v>
      </c>
    </row>
    <row r="414" customFormat="false" ht="16.5" hidden="false" customHeight="true" outlineLevel="0" collapsed="false">
      <c r="A414" s="26" t="s">
        <v>633</v>
      </c>
      <c r="B414" s="27" t="s">
        <v>1358</v>
      </c>
      <c r="C414" s="26" t="n">
        <v>165</v>
      </c>
      <c r="D414" s="9" t="s">
        <v>1681</v>
      </c>
      <c r="E414" s="26" t="s">
        <v>1428</v>
      </c>
      <c r="F414" s="26" t="n">
        <v>11.5</v>
      </c>
      <c r="G414" s="26" t="s">
        <v>743</v>
      </c>
      <c r="H414" s="6" t="s">
        <v>217</v>
      </c>
    </row>
    <row r="415" customFormat="false" ht="16.5" hidden="false" customHeight="true" outlineLevel="0" collapsed="false">
      <c r="A415" s="26" t="s">
        <v>633</v>
      </c>
      <c r="B415" s="27" t="s">
        <v>1358</v>
      </c>
      <c r="C415" s="26" t="n">
        <v>166</v>
      </c>
      <c r="D415" s="9" t="s">
        <v>1682</v>
      </c>
      <c r="E415" s="26" t="s">
        <v>1683</v>
      </c>
      <c r="F415" s="26" t="n">
        <v>11.8</v>
      </c>
      <c r="G415" s="26" t="s">
        <v>743</v>
      </c>
      <c r="H415" s="6" t="s">
        <v>217</v>
      </c>
    </row>
    <row r="416" customFormat="false" ht="30" hidden="false" customHeight="true" outlineLevel="0" collapsed="false">
      <c r="A416" s="26" t="s">
        <v>633</v>
      </c>
      <c r="B416" s="27" t="s">
        <v>1358</v>
      </c>
      <c r="C416" s="26" t="n">
        <v>167</v>
      </c>
      <c r="D416" s="9" t="s">
        <v>1684</v>
      </c>
      <c r="E416" s="26" t="s">
        <v>1685</v>
      </c>
      <c r="F416" s="26" t="n">
        <v>14.9</v>
      </c>
      <c r="G416" s="26" t="s">
        <v>740</v>
      </c>
      <c r="H416" s="6" t="s">
        <v>238</v>
      </c>
    </row>
    <row r="417" customFormat="false" ht="16.5" hidden="false" customHeight="true" outlineLevel="0" collapsed="false">
      <c r="A417" s="26" t="s">
        <v>633</v>
      </c>
      <c r="B417" s="27" t="s">
        <v>1358</v>
      </c>
      <c r="C417" s="26" t="n">
        <v>168</v>
      </c>
      <c r="D417" s="9" t="s">
        <v>1686</v>
      </c>
      <c r="E417" s="26" t="s">
        <v>1554</v>
      </c>
      <c r="F417" s="26" t="n">
        <v>12.5</v>
      </c>
      <c r="G417" s="26" t="s">
        <v>1622</v>
      </c>
      <c r="H417" s="6" t="s">
        <v>161</v>
      </c>
    </row>
    <row r="418" customFormat="false" ht="16.5" hidden="false" customHeight="true" outlineLevel="0" collapsed="false">
      <c r="A418" s="26" t="s">
        <v>633</v>
      </c>
      <c r="B418" s="27" t="s">
        <v>1358</v>
      </c>
      <c r="C418" s="26" t="n">
        <v>169</v>
      </c>
      <c r="D418" s="9" t="s">
        <v>1687</v>
      </c>
      <c r="E418" s="26" t="s">
        <v>1688</v>
      </c>
      <c r="F418" s="26" t="n">
        <v>56.8</v>
      </c>
      <c r="G418" s="26" t="s">
        <v>1454</v>
      </c>
      <c r="H418" s="6" t="s">
        <v>608</v>
      </c>
    </row>
    <row r="419" customFormat="false" ht="16.5" hidden="false" customHeight="true" outlineLevel="0" collapsed="false">
      <c r="A419" s="26" t="s">
        <v>633</v>
      </c>
      <c r="B419" s="27" t="s">
        <v>1358</v>
      </c>
      <c r="C419" s="26" t="n">
        <v>170</v>
      </c>
      <c r="D419" s="9" t="s">
        <v>1689</v>
      </c>
      <c r="E419" s="26" t="s">
        <v>1690</v>
      </c>
      <c r="F419" s="26" t="n">
        <v>10.1</v>
      </c>
      <c r="G419" s="26" t="s">
        <v>1691</v>
      </c>
      <c r="H419" s="6" t="s">
        <v>1692</v>
      </c>
    </row>
    <row r="420" customFormat="false" ht="16.5" hidden="false" customHeight="true" outlineLevel="0" collapsed="false">
      <c r="A420" s="26" t="s">
        <v>633</v>
      </c>
      <c r="B420" s="27" t="s">
        <v>1358</v>
      </c>
      <c r="C420" s="26" t="n">
        <v>171</v>
      </c>
      <c r="D420" s="9" t="s">
        <v>1693</v>
      </c>
      <c r="E420" s="26" t="s">
        <v>1536</v>
      </c>
      <c r="F420" s="26" t="n">
        <v>10.7</v>
      </c>
      <c r="G420" s="26" t="s">
        <v>899</v>
      </c>
      <c r="H420" s="6" t="s">
        <v>197</v>
      </c>
    </row>
    <row r="421" customFormat="false" ht="16.5" hidden="false" customHeight="true" outlineLevel="0" collapsed="false">
      <c r="A421" s="26" t="s">
        <v>633</v>
      </c>
      <c r="B421" s="27" t="s">
        <v>1358</v>
      </c>
      <c r="C421" s="26" t="n">
        <v>172</v>
      </c>
      <c r="D421" s="9" t="s">
        <v>1694</v>
      </c>
      <c r="E421" s="26" t="s">
        <v>1695</v>
      </c>
      <c r="F421" s="26" t="n">
        <v>13.1</v>
      </c>
      <c r="G421" s="26" t="s">
        <v>818</v>
      </c>
      <c r="H421" s="6" t="s">
        <v>118</v>
      </c>
    </row>
    <row r="422" customFormat="false" ht="16.5" hidden="false" customHeight="true" outlineLevel="0" collapsed="false">
      <c r="A422" s="26" t="s">
        <v>633</v>
      </c>
      <c r="B422" s="27" t="s">
        <v>1358</v>
      </c>
      <c r="C422" s="26" t="n">
        <v>173</v>
      </c>
      <c r="D422" s="9" t="s">
        <v>1696</v>
      </c>
      <c r="E422" s="26" t="s">
        <v>1697</v>
      </c>
      <c r="F422" s="26" t="n">
        <v>19.7</v>
      </c>
      <c r="G422" s="26" t="s">
        <v>952</v>
      </c>
      <c r="H422" s="6" t="s">
        <v>286</v>
      </c>
    </row>
    <row r="423" customFormat="false" ht="16.5" hidden="false" customHeight="true" outlineLevel="0" collapsed="false">
      <c r="A423" s="26" t="s">
        <v>633</v>
      </c>
      <c r="B423" s="27" t="s">
        <v>1358</v>
      </c>
      <c r="C423" s="26" t="n">
        <v>174</v>
      </c>
      <c r="D423" s="9" t="s">
        <v>1698</v>
      </c>
      <c r="E423" s="26" t="s">
        <v>1699</v>
      </c>
      <c r="F423" s="26" t="n">
        <v>15.5</v>
      </c>
      <c r="G423" s="26" t="s">
        <v>952</v>
      </c>
      <c r="H423" s="6" t="s">
        <v>286</v>
      </c>
    </row>
    <row r="424" customFormat="false" ht="16.5" hidden="false" customHeight="true" outlineLevel="0" collapsed="false">
      <c r="A424" s="26" t="s">
        <v>633</v>
      </c>
      <c r="B424" s="27" t="s">
        <v>1358</v>
      </c>
      <c r="C424" s="26" t="n">
        <v>175</v>
      </c>
      <c r="D424" s="9" t="s">
        <v>1700</v>
      </c>
      <c r="E424" s="26" t="s">
        <v>1701</v>
      </c>
      <c r="F424" s="26" t="n">
        <v>17.4</v>
      </c>
      <c r="G424" s="26" t="s">
        <v>955</v>
      </c>
      <c r="H424" s="6" t="s">
        <v>293</v>
      </c>
    </row>
    <row r="425" customFormat="false" ht="16.5" hidden="false" customHeight="true" outlineLevel="0" collapsed="false">
      <c r="A425" s="26" t="s">
        <v>633</v>
      </c>
      <c r="B425" s="27" t="s">
        <v>1358</v>
      </c>
      <c r="C425" s="26" t="n">
        <v>176</v>
      </c>
      <c r="D425" s="9" t="s">
        <v>1702</v>
      </c>
      <c r="E425" s="26" t="s">
        <v>1703</v>
      </c>
      <c r="F425" s="26" t="n">
        <v>18</v>
      </c>
      <c r="G425" s="26" t="s">
        <v>955</v>
      </c>
      <c r="H425" s="6" t="s">
        <v>293</v>
      </c>
    </row>
    <row r="426" customFormat="false" ht="30" hidden="false" customHeight="true" outlineLevel="0" collapsed="false">
      <c r="A426" s="26" t="s">
        <v>633</v>
      </c>
      <c r="B426" s="27" t="s">
        <v>1358</v>
      </c>
      <c r="C426" s="26" t="n">
        <v>177</v>
      </c>
      <c r="D426" s="9" t="s">
        <v>1704</v>
      </c>
      <c r="E426" s="26" t="s">
        <v>1705</v>
      </c>
      <c r="F426" s="26" t="n">
        <v>10</v>
      </c>
      <c r="G426" s="26" t="s">
        <v>888</v>
      </c>
      <c r="H426" s="6" t="s">
        <v>224</v>
      </c>
    </row>
    <row r="427" customFormat="false" ht="16.5" hidden="false" customHeight="true" outlineLevel="0" collapsed="false">
      <c r="A427" s="26" t="s">
        <v>633</v>
      </c>
      <c r="B427" s="27" t="s">
        <v>1358</v>
      </c>
      <c r="C427" s="26" t="n">
        <v>178</v>
      </c>
      <c r="D427" s="9" t="s">
        <v>1706</v>
      </c>
      <c r="E427" s="26" t="s">
        <v>1707</v>
      </c>
      <c r="F427" s="26" t="n">
        <v>8.6</v>
      </c>
      <c r="G427" s="26" t="s">
        <v>955</v>
      </c>
      <c r="H427" s="6" t="s">
        <v>293</v>
      </c>
    </row>
    <row r="428" customFormat="false" ht="16.5" hidden="false" customHeight="true" outlineLevel="0" collapsed="false">
      <c r="A428" s="26" t="s">
        <v>633</v>
      </c>
      <c r="B428" s="27" t="s">
        <v>1358</v>
      </c>
      <c r="C428" s="26" t="n">
        <v>179</v>
      </c>
      <c r="D428" s="9" t="s">
        <v>1708</v>
      </c>
      <c r="E428" s="26" t="s">
        <v>1709</v>
      </c>
      <c r="F428" s="26" t="n">
        <v>17.3</v>
      </c>
      <c r="G428" s="26" t="s">
        <v>955</v>
      </c>
      <c r="H428" s="6" t="s">
        <v>293</v>
      </c>
    </row>
    <row r="429" customFormat="false" ht="16.5" hidden="false" customHeight="true" outlineLevel="0" collapsed="false">
      <c r="A429" s="26" t="s">
        <v>633</v>
      </c>
      <c r="B429" s="27" t="s">
        <v>1358</v>
      </c>
      <c r="C429" s="26" t="n">
        <v>180</v>
      </c>
      <c r="D429" s="9" t="s">
        <v>1710</v>
      </c>
      <c r="E429" s="26" t="s">
        <v>1711</v>
      </c>
      <c r="F429" s="26" t="n">
        <v>14.1</v>
      </c>
      <c r="G429" s="26" t="s">
        <v>955</v>
      </c>
      <c r="H429" s="6" t="s">
        <v>293</v>
      </c>
    </row>
    <row r="430" customFormat="false" ht="16.5" hidden="false" customHeight="true" outlineLevel="0" collapsed="false">
      <c r="A430" s="26" t="s">
        <v>633</v>
      </c>
      <c r="B430" s="27" t="s">
        <v>1358</v>
      </c>
      <c r="C430" s="26" t="n">
        <v>181</v>
      </c>
      <c r="D430" s="9" t="s">
        <v>1712</v>
      </c>
      <c r="E430" s="26" t="s">
        <v>1713</v>
      </c>
      <c r="F430" s="26" t="n">
        <v>11.1</v>
      </c>
      <c r="G430" s="26" t="s">
        <v>955</v>
      </c>
      <c r="H430" s="6" t="s">
        <v>293</v>
      </c>
    </row>
    <row r="431" customFormat="false" ht="16.5" hidden="false" customHeight="true" outlineLevel="0" collapsed="false">
      <c r="A431" s="26" t="s">
        <v>633</v>
      </c>
      <c r="B431" s="27" t="s">
        <v>1358</v>
      </c>
      <c r="C431" s="26" t="n">
        <v>182</v>
      </c>
      <c r="D431" s="9" t="s">
        <v>1714</v>
      </c>
      <c r="E431" s="26" t="s">
        <v>1715</v>
      </c>
      <c r="F431" s="26" t="n">
        <v>11.7</v>
      </c>
      <c r="G431" s="26" t="s">
        <v>952</v>
      </c>
      <c r="H431" s="6" t="s">
        <v>286</v>
      </c>
    </row>
    <row r="432" customFormat="false" ht="16.5" hidden="false" customHeight="true" outlineLevel="0" collapsed="false">
      <c r="A432" s="26" t="s">
        <v>633</v>
      </c>
      <c r="B432" s="27" t="s">
        <v>1358</v>
      </c>
      <c r="C432" s="26" t="n">
        <v>183</v>
      </c>
      <c r="D432" s="9" t="s">
        <v>1716</v>
      </c>
      <c r="E432" s="26" t="s">
        <v>1717</v>
      </c>
      <c r="F432" s="26" t="n">
        <v>9.7</v>
      </c>
      <c r="G432" s="26" t="s">
        <v>955</v>
      </c>
      <c r="H432" s="6" t="s">
        <v>293</v>
      </c>
    </row>
    <row r="433" customFormat="false" ht="16.5" hidden="false" customHeight="true" outlineLevel="0" collapsed="false">
      <c r="A433" s="26" t="s">
        <v>633</v>
      </c>
      <c r="B433" s="27" t="s">
        <v>1358</v>
      </c>
      <c r="C433" s="26" t="n">
        <v>184</v>
      </c>
      <c r="D433" s="9" t="s">
        <v>1718</v>
      </c>
      <c r="E433" s="26" t="s">
        <v>1719</v>
      </c>
      <c r="F433" s="26" t="n">
        <v>6.4</v>
      </c>
      <c r="G433" s="26" t="s">
        <v>1720</v>
      </c>
      <c r="H433" s="6" t="s">
        <v>310</v>
      </c>
    </row>
    <row r="434" customFormat="false" ht="30" hidden="false" customHeight="true" outlineLevel="0" collapsed="false">
      <c r="A434" s="26" t="s">
        <v>633</v>
      </c>
      <c r="B434" s="27" t="s">
        <v>1358</v>
      </c>
      <c r="C434" s="26" t="n">
        <v>185</v>
      </c>
      <c r="D434" s="9" t="s">
        <v>1721</v>
      </c>
      <c r="E434" s="26" t="s">
        <v>1722</v>
      </c>
      <c r="F434" s="26" t="n">
        <v>9.1</v>
      </c>
      <c r="G434" s="26" t="s">
        <v>1720</v>
      </c>
      <c r="H434" s="6" t="s">
        <v>310</v>
      </c>
    </row>
    <row r="435" customFormat="false" ht="16.5" hidden="false" customHeight="true" outlineLevel="0" collapsed="false">
      <c r="A435" s="26" t="s">
        <v>633</v>
      </c>
      <c r="B435" s="27" t="s">
        <v>1358</v>
      </c>
      <c r="C435" s="26" t="n">
        <v>186</v>
      </c>
      <c r="D435" s="9" t="s">
        <v>1723</v>
      </c>
      <c r="E435" s="26" t="s">
        <v>1467</v>
      </c>
      <c r="F435" s="26" t="n">
        <v>8.4</v>
      </c>
      <c r="G435" s="26" t="s">
        <v>964</v>
      </c>
      <c r="H435" s="6" t="s">
        <v>298</v>
      </c>
    </row>
    <row r="436" customFormat="false" ht="16.5" hidden="false" customHeight="true" outlineLevel="0" collapsed="false">
      <c r="A436" s="26" t="s">
        <v>633</v>
      </c>
      <c r="B436" s="27" t="s">
        <v>1358</v>
      </c>
      <c r="C436" s="26" t="n">
        <v>187</v>
      </c>
      <c r="D436" s="9" t="s">
        <v>1724</v>
      </c>
      <c r="E436" s="26" t="s">
        <v>1725</v>
      </c>
      <c r="F436" s="26" t="n">
        <v>14.6</v>
      </c>
      <c r="G436" s="26" t="s">
        <v>964</v>
      </c>
      <c r="H436" s="6" t="s">
        <v>298</v>
      </c>
    </row>
    <row r="437" customFormat="false" ht="30" hidden="false" customHeight="true" outlineLevel="0" collapsed="false">
      <c r="A437" s="26" t="s">
        <v>633</v>
      </c>
      <c r="B437" s="27" t="s">
        <v>1358</v>
      </c>
      <c r="C437" s="26" t="n">
        <v>188</v>
      </c>
      <c r="D437" s="9" t="s">
        <v>1726</v>
      </c>
      <c r="E437" s="26" t="s">
        <v>1727</v>
      </c>
      <c r="F437" s="26" t="n">
        <v>5.6</v>
      </c>
      <c r="G437" s="26" t="s">
        <v>964</v>
      </c>
      <c r="H437" s="6" t="s">
        <v>298</v>
      </c>
    </row>
    <row r="438" customFormat="false" ht="16.5" hidden="false" customHeight="true" outlineLevel="0" collapsed="false">
      <c r="A438" s="26" t="s">
        <v>633</v>
      </c>
      <c r="B438" s="27" t="s">
        <v>1358</v>
      </c>
      <c r="C438" s="26" t="n">
        <v>189</v>
      </c>
      <c r="D438" s="9" t="s">
        <v>1728</v>
      </c>
      <c r="E438" s="26" t="s">
        <v>1713</v>
      </c>
      <c r="F438" s="26" t="n">
        <v>11.1</v>
      </c>
      <c r="G438" s="26" t="s">
        <v>964</v>
      </c>
      <c r="H438" s="6" t="s">
        <v>298</v>
      </c>
    </row>
    <row r="439" customFormat="false" ht="16.5" hidden="false" customHeight="true" outlineLevel="0" collapsed="false">
      <c r="A439" s="26" t="s">
        <v>633</v>
      </c>
      <c r="B439" s="27" t="s">
        <v>1358</v>
      </c>
      <c r="C439" s="26" t="n">
        <v>190</v>
      </c>
      <c r="D439" s="9" t="s">
        <v>1729</v>
      </c>
      <c r="E439" s="26" t="s">
        <v>1730</v>
      </c>
      <c r="F439" s="26" t="n">
        <v>13.3</v>
      </c>
      <c r="G439" s="26" t="s">
        <v>964</v>
      </c>
      <c r="H439" s="6" t="s">
        <v>298</v>
      </c>
    </row>
    <row r="440" customFormat="false" ht="16.5" hidden="false" customHeight="true" outlineLevel="0" collapsed="false">
      <c r="A440" s="26" t="s">
        <v>633</v>
      </c>
      <c r="B440" s="27" t="s">
        <v>1358</v>
      </c>
      <c r="C440" s="26" t="n">
        <v>191</v>
      </c>
      <c r="D440" s="9" t="s">
        <v>1731</v>
      </c>
      <c r="E440" s="26" t="s">
        <v>1732</v>
      </c>
      <c r="F440" s="26" t="n">
        <v>12.8</v>
      </c>
      <c r="G440" s="26" t="s">
        <v>1733</v>
      </c>
      <c r="H440" s="6" t="s">
        <v>306</v>
      </c>
    </row>
    <row r="441" customFormat="false" ht="16.5" hidden="false" customHeight="true" outlineLevel="0" collapsed="false">
      <c r="A441" s="26" t="s">
        <v>633</v>
      </c>
      <c r="B441" s="27" t="s">
        <v>1358</v>
      </c>
      <c r="C441" s="26" t="n">
        <v>192</v>
      </c>
      <c r="D441" s="9" t="s">
        <v>1734</v>
      </c>
      <c r="E441" s="26" t="s">
        <v>1735</v>
      </c>
      <c r="F441" s="26" t="n">
        <v>10.8</v>
      </c>
      <c r="G441" s="26" t="s">
        <v>964</v>
      </c>
      <c r="H441" s="6" t="s">
        <v>298</v>
      </c>
    </row>
    <row r="442" customFormat="false" ht="16.5" hidden="false" customHeight="true" outlineLevel="0" collapsed="false">
      <c r="A442" s="26" t="s">
        <v>633</v>
      </c>
      <c r="B442" s="27" t="s">
        <v>1358</v>
      </c>
      <c r="C442" s="26" t="n">
        <v>193</v>
      </c>
      <c r="D442" s="9" t="s">
        <v>1736</v>
      </c>
      <c r="E442" s="26" t="s">
        <v>1737</v>
      </c>
      <c r="F442" s="26" t="n">
        <v>5.6</v>
      </c>
      <c r="G442" s="26" t="s">
        <v>952</v>
      </c>
      <c r="H442" s="6" t="s">
        <v>286</v>
      </c>
    </row>
    <row r="443" customFormat="false" ht="16.5" hidden="false" customHeight="true" outlineLevel="0" collapsed="false">
      <c r="A443" s="26" t="s">
        <v>633</v>
      </c>
      <c r="B443" s="27" t="s">
        <v>1358</v>
      </c>
      <c r="C443" s="26" t="n">
        <v>194</v>
      </c>
      <c r="D443" s="9" t="s">
        <v>1738</v>
      </c>
      <c r="E443" s="26" t="s">
        <v>1739</v>
      </c>
      <c r="F443" s="26" t="n">
        <v>15.9</v>
      </c>
      <c r="G443" s="26" t="s">
        <v>1179</v>
      </c>
      <c r="H443" s="6" t="s">
        <v>411</v>
      </c>
    </row>
    <row r="444" customFormat="false" ht="16.5" hidden="false" customHeight="true" outlineLevel="0" collapsed="false">
      <c r="A444" s="26" t="s">
        <v>633</v>
      </c>
      <c r="B444" s="27" t="s">
        <v>1358</v>
      </c>
      <c r="C444" s="26" t="n">
        <v>195</v>
      </c>
      <c r="D444" s="9" t="s">
        <v>1740</v>
      </c>
      <c r="E444" s="26" t="s">
        <v>1741</v>
      </c>
      <c r="F444" s="26" t="n">
        <v>8</v>
      </c>
      <c r="G444" s="26" t="s">
        <v>1179</v>
      </c>
      <c r="H444" s="6" t="s">
        <v>411</v>
      </c>
    </row>
    <row r="445" customFormat="false" ht="16.5" hidden="false" customHeight="true" outlineLevel="0" collapsed="false">
      <c r="A445" s="26" t="s">
        <v>633</v>
      </c>
      <c r="B445" s="27" t="s">
        <v>1358</v>
      </c>
      <c r="C445" s="26" t="n">
        <v>196</v>
      </c>
      <c r="D445" s="9" t="s">
        <v>1742</v>
      </c>
      <c r="E445" s="26" t="s">
        <v>1743</v>
      </c>
      <c r="F445" s="26" t="n">
        <v>8.3</v>
      </c>
      <c r="G445" s="26" t="s">
        <v>1179</v>
      </c>
      <c r="H445" s="6" t="s">
        <v>411</v>
      </c>
    </row>
    <row r="446" customFormat="false" ht="16.5" hidden="false" customHeight="true" outlineLevel="0" collapsed="false">
      <c r="A446" s="26" t="s">
        <v>633</v>
      </c>
      <c r="B446" s="27" t="s">
        <v>1358</v>
      </c>
      <c r="C446" s="26" t="n">
        <v>197</v>
      </c>
      <c r="D446" s="9" t="s">
        <v>1744</v>
      </c>
      <c r="E446" s="26" t="s">
        <v>1360</v>
      </c>
      <c r="F446" s="26" t="n">
        <v>11.7</v>
      </c>
      <c r="G446" s="26" t="s">
        <v>1179</v>
      </c>
      <c r="H446" s="6" t="s">
        <v>411</v>
      </c>
    </row>
    <row r="447" customFormat="false" ht="16.5" hidden="false" customHeight="true" outlineLevel="0" collapsed="false">
      <c r="A447" s="26" t="s">
        <v>633</v>
      </c>
      <c r="B447" s="27" t="s">
        <v>1358</v>
      </c>
      <c r="C447" s="26" t="n">
        <v>198</v>
      </c>
      <c r="D447" s="9" t="s">
        <v>1745</v>
      </c>
      <c r="E447" s="26" t="s">
        <v>1746</v>
      </c>
      <c r="F447" s="26" t="n">
        <v>5.1</v>
      </c>
      <c r="G447" s="26" t="s">
        <v>1179</v>
      </c>
      <c r="H447" s="6" t="s">
        <v>411</v>
      </c>
    </row>
    <row r="448" customFormat="false" ht="30" hidden="false" customHeight="true" outlineLevel="0" collapsed="false">
      <c r="A448" s="26" t="s">
        <v>633</v>
      </c>
      <c r="B448" s="27" t="s">
        <v>1358</v>
      </c>
      <c r="C448" s="26" t="n">
        <v>199</v>
      </c>
      <c r="D448" s="9" t="s">
        <v>1747</v>
      </c>
      <c r="E448" s="26" t="s">
        <v>1748</v>
      </c>
      <c r="F448" s="26" t="n">
        <v>9.2</v>
      </c>
      <c r="G448" s="26" t="s">
        <v>1179</v>
      </c>
      <c r="H448" s="6" t="s">
        <v>411</v>
      </c>
    </row>
    <row r="449" customFormat="false" ht="16.5" hidden="false" customHeight="true" outlineLevel="0" collapsed="false">
      <c r="A449" s="26" t="s">
        <v>633</v>
      </c>
      <c r="B449" s="27" t="s">
        <v>1358</v>
      </c>
      <c r="C449" s="26" t="n">
        <v>200</v>
      </c>
      <c r="D449" s="9" t="s">
        <v>1749</v>
      </c>
      <c r="E449" s="26" t="s">
        <v>1750</v>
      </c>
      <c r="F449" s="26" t="n">
        <v>10.7</v>
      </c>
      <c r="G449" s="26" t="s">
        <v>715</v>
      </c>
      <c r="H449" s="6" t="s">
        <v>228</v>
      </c>
    </row>
    <row r="450" customFormat="false" ht="16.5" hidden="false" customHeight="true" outlineLevel="0" collapsed="false">
      <c r="A450" s="26" t="s">
        <v>633</v>
      </c>
      <c r="B450" s="27" t="s">
        <v>1358</v>
      </c>
      <c r="C450" s="26" t="n">
        <v>201</v>
      </c>
      <c r="D450" s="9" t="s">
        <v>1751</v>
      </c>
      <c r="E450" s="26" t="s">
        <v>1752</v>
      </c>
      <c r="F450" s="26" t="n">
        <v>15.2</v>
      </c>
      <c r="G450" s="26" t="s">
        <v>715</v>
      </c>
      <c r="H450" s="6" t="s">
        <v>228</v>
      </c>
    </row>
    <row r="451" customFormat="false" ht="16.5" hidden="false" customHeight="true" outlineLevel="0" collapsed="false">
      <c r="A451" s="26" t="s">
        <v>633</v>
      </c>
      <c r="B451" s="27" t="s">
        <v>1358</v>
      </c>
      <c r="C451" s="26" t="n">
        <v>202</v>
      </c>
      <c r="D451" s="9" t="s">
        <v>1753</v>
      </c>
      <c r="E451" s="26" t="s">
        <v>1754</v>
      </c>
      <c r="F451" s="26" t="n">
        <v>21.9</v>
      </c>
      <c r="G451" s="26" t="s">
        <v>715</v>
      </c>
      <c r="H451" s="6" t="s">
        <v>228</v>
      </c>
    </row>
    <row r="452" customFormat="false" ht="16.5" hidden="false" customHeight="true" outlineLevel="0" collapsed="false">
      <c r="A452" s="26" t="s">
        <v>633</v>
      </c>
      <c r="B452" s="27" t="s">
        <v>1358</v>
      </c>
      <c r="C452" s="26" t="n">
        <v>203</v>
      </c>
      <c r="D452" s="9" t="s">
        <v>1755</v>
      </c>
      <c r="E452" s="26" t="s">
        <v>1756</v>
      </c>
      <c r="F452" s="26" t="n">
        <v>10</v>
      </c>
      <c r="G452" s="26" t="s">
        <v>1034</v>
      </c>
      <c r="H452" s="6" t="s">
        <v>434</v>
      </c>
    </row>
    <row r="453" customFormat="false" ht="16.5" hidden="false" customHeight="true" outlineLevel="0" collapsed="false">
      <c r="A453" s="26" t="s">
        <v>633</v>
      </c>
      <c r="B453" s="27" t="s">
        <v>1358</v>
      </c>
      <c r="C453" s="26" t="n">
        <v>204</v>
      </c>
      <c r="D453" s="9" t="s">
        <v>1757</v>
      </c>
      <c r="E453" s="26" t="s">
        <v>1758</v>
      </c>
      <c r="F453" s="26" t="n">
        <v>10.6</v>
      </c>
      <c r="G453" s="26" t="s">
        <v>1034</v>
      </c>
      <c r="H453" s="6" t="s">
        <v>434</v>
      </c>
    </row>
    <row r="454" customFormat="false" ht="16.5" hidden="false" customHeight="true" outlineLevel="0" collapsed="false">
      <c r="A454" s="26" t="s">
        <v>633</v>
      </c>
      <c r="B454" s="27" t="s">
        <v>1358</v>
      </c>
      <c r="C454" s="26" t="n">
        <v>205</v>
      </c>
      <c r="D454" s="9" t="s">
        <v>1759</v>
      </c>
      <c r="E454" s="26" t="s">
        <v>1760</v>
      </c>
      <c r="F454" s="26" t="n">
        <v>16.5</v>
      </c>
      <c r="G454" s="26" t="s">
        <v>1034</v>
      </c>
      <c r="H454" s="6" t="s">
        <v>434</v>
      </c>
    </row>
    <row r="455" customFormat="false" ht="16.5" hidden="false" customHeight="true" outlineLevel="0" collapsed="false">
      <c r="A455" s="26" t="s">
        <v>633</v>
      </c>
      <c r="B455" s="27" t="s">
        <v>1358</v>
      </c>
      <c r="C455" s="26" t="n">
        <v>206</v>
      </c>
      <c r="D455" s="9" t="s">
        <v>1761</v>
      </c>
      <c r="E455" s="26" t="s">
        <v>1676</v>
      </c>
      <c r="F455" s="26" t="n">
        <v>10.9</v>
      </c>
      <c r="G455" s="26" t="s">
        <v>1034</v>
      </c>
      <c r="H455" s="6" t="s">
        <v>434</v>
      </c>
    </row>
    <row r="456" customFormat="false" ht="16.5" hidden="false" customHeight="true" outlineLevel="0" collapsed="false">
      <c r="A456" s="26" t="s">
        <v>633</v>
      </c>
      <c r="B456" s="27" t="s">
        <v>1358</v>
      </c>
      <c r="C456" s="26" t="n">
        <v>207</v>
      </c>
      <c r="D456" s="9" t="s">
        <v>1762</v>
      </c>
      <c r="E456" s="26" t="s">
        <v>1763</v>
      </c>
      <c r="F456" s="26" t="n">
        <v>9.6</v>
      </c>
      <c r="G456" s="26" t="s">
        <v>1034</v>
      </c>
      <c r="H456" s="6" t="s">
        <v>434</v>
      </c>
    </row>
    <row r="457" customFormat="false" ht="16.5" hidden="false" customHeight="true" outlineLevel="0" collapsed="false">
      <c r="A457" s="26" t="s">
        <v>633</v>
      </c>
      <c r="B457" s="27" t="s">
        <v>1358</v>
      </c>
      <c r="C457" s="26" t="n">
        <v>208</v>
      </c>
      <c r="D457" s="9" t="s">
        <v>1764</v>
      </c>
      <c r="E457" s="26" t="s">
        <v>1765</v>
      </c>
      <c r="F457" s="26" t="n">
        <v>8.3</v>
      </c>
      <c r="G457" s="26" t="s">
        <v>1034</v>
      </c>
      <c r="H457" s="6" t="s">
        <v>434</v>
      </c>
    </row>
    <row r="458" customFormat="false" ht="16.5" hidden="false" customHeight="true" outlineLevel="0" collapsed="false">
      <c r="A458" s="26" t="s">
        <v>633</v>
      </c>
      <c r="B458" s="27" t="s">
        <v>1358</v>
      </c>
      <c r="C458" s="26" t="n">
        <v>209</v>
      </c>
      <c r="D458" s="9" t="s">
        <v>1766</v>
      </c>
      <c r="E458" s="26" t="s">
        <v>1767</v>
      </c>
      <c r="F458" s="26" t="n">
        <v>7.6</v>
      </c>
      <c r="G458" s="26" t="s">
        <v>1126</v>
      </c>
      <c r="H458" s="6" t="s">
        <v>441</v>
      </c>
    </row>
    <row r="459" customFormat="false" ht="16.5" hidden="false" customHeight="true" outlineLevel="0" collapsed="false">
      <c r="A459" s="26" t="s">
        <v>633</v>
      </c>
      <c r="B459" s="27" t="s">
        <v>1358</v>
      </c>
      <c r="C459" s="26" t="n">
        <v>210</v>
      </c>
      <c r="D459" s="9" t="s">
        <v>1768</v>
      </c>
      <c r="E459" s="26" t="s">
        <v>1475</v>
      </c>
      <c r="F459" s="26" t="n">
        <v>7.5</v>
      </c>
      <c r="G459" s="26" t="s">
        <v>1126</v>
      </c>
      <c r="H459" s="6" t="s">
        <v>441</v>
      </c>
    </row>
    <row r="460" customFormat="false" ht="16.5" hidden="false" customHeight="true" outlineLevel="0" collapsed="false">
      <c r="A460" s="26" t="s">
        <v>633</v>
      </c>
      <c r="B460" s="27" t="s">
        <v>1358</v>
      </c>
      <c r="C460" s="26" t="n">
        <v>211</v>
      </c>
      <c r="D460" s="9" t="s">
        <v>1769</v>
      </c>
      <c r="E460" s="26" t="s">
        <v>1770</v>
      </c>
      <c r="F460" s="26" t="n">
        <v>6.2</v>
      </c>
      <c r="G460" s="26" t="s">
        <v>1126</v>
      </c>
      <c r="H460" s="6" t="s">
        <v>441</v>
      </c>
    </row>
    <row r="461" customFormat="false" ht="16.5" hidden="false" customHeight="true" outlineLevel="0" collapsed="false">
      <c r="A461" s="26" t="s">
        <v>633</v>
      </c>
      <c r="B461" s="27" t="s">
        <v>1358</v>
      </c>
      <c r="C461" s="26" t="n">
        <v>212</v>
      </c>
      <c r="D461" s="9" t="s">
        <v>1771</v>
      </c>
      <c r="E461" s="26" t="s">
        <v>1772</v>
      </c>
      <c r="F461" s="26" t="n">
        <v>7.9</v>
      </c>
      <c r="G461" s="26" t="s">
        <v>1126</v>
      </c>
      <c r="H461" s="6" t="s">
        <v>441</v>
      </c>
    </row>
    <row r="462" customFormat="false" ht="16.5" hidden="false" customHeight="true" outlineLevel="0" collapsed="false">
      <c r="A462" s="26" t="s">
        <v>633</v>
      </c>
      <c r="B462" s="27" t="s">
        <v>1358</v>
      </c>
      <c r="C462" s="26" t="n">
        <v>213</v>
      </c>
      <c r="D462" s="9" t="s">
        <v>1773</v>
      </c>
      <c r="E462" s="26" t="s">
        <v>1774</v>
      </c>
      <c r="F462" s="26" t="n">
        <v>4.8</v>
      </c>
      <c r="G462" s="26" t="s">
        <v>1126</v>
      </c>
      <c r="H462" s="6" t="s">
        <v>441</v>
      </c>
    </row>
    <row r="463" customFormat="false" ht="16.5" hidden="false" customHeight="true" outlineLevel="0" collapsed="false">
      <c r="A463" s="26" t="s">
        <v>633</v>
      </c>
      <c r="B463" s="27" t="s">
        <v>1358</v>
      </c>
      <c r="C463" s="26" t="n">
        <v>214</v>
      </c>
      <c r="D463" s="9" t="s">
        <v>1775</v>
      </c>
      <c r="E463" s="26" t="s">
        <v>1776</v>
      </c>
      <c r="F463" s="26" t="n">
        <v>7.6</v>
      </c>
      <c r="G463" s="26" t="s">
        <v>1126</v>
      </c>
      <c r="H463" s="6" t="s">
        <v>441</v>
      </c>
    </row>
    <row r="464" customFormat="false" ht="16.5" hidden="false" customHeight="true" outlineLevel="0" collapsed="false">
      <c r="A464" s="26" t="s">
        <v>633</v>
      </c>
      <c r="B464" s="27" t="s">
        <v>1358</v>
      </c>
      <c r="C464" s="26" t="n">
        <v>215</v>
      </c>
      <c r="D464" s="9" t="s">
        <v>1777</v>
      </c>
      <c r="E464" s="26" t="s">
        <v>1717</v>
      </c>
      <c r="F464" s="26" t="n">
        <v>9.7</v>
      </c>
      <c r="G464" s="26" t="s">
        <v>1126</v>
      </c>
      <c r="H464" s="6" t="s">
        <v>441</v>
      </c>
    </row>
    <row r="465" customFormat="false" ht="30" hidden="false" customHeight="true" outlineLevel="0" collapsed="false">
      <c r="A465" s="26" t="s">
        <v>633</v>
      </c>
      <c r="B465" s="27" t="s">
        <v>1358</v>
      </c>
      <c r="C465" s="26" t="n">
        <v>216</v>
      </c>
      <c r="D465" s="9" t="s">
        <v>1778</v>
      </c>
      <c r="E465" s="26" t="s">
        <v>1621</v>
      </c>
      <c r="F465" s="26" t="n">
        <v>9.7</v>
      </c>
      <c r="G465" s="26" t="s">
        <v>1126</v>
      </c>
      <c r="H465" s="6" t="s">
        <v>441</v>
      </c>
    </row>
    <row r="466" customFormat="false" ht="16.5" hidden="false" customHeight="true" outlineLevel="0" collapsed="false">
      <c r="A466" s="26" t="s">
        <v>633</v>
      </c>
      <c r="B466" s="27" t="s">
        <v>1358</v>
      </c>
      <c r="C466" s="26" t="n">
        <v>217</v>
      </c>
      <c r="D466" s="9" t="s">
        <v>1779</v>
      </c>
      <c r="E466" s="26" t="s">
        <v>1780</v>
      </c>
      <c r="F466" s="26" t="n">
        <v>17.6</v>
      </c>
      <c r="G466" s="26" t="s">
        <v>1781</v>
      </c>
      <c r="H466" s="6" t="s">
        <v>446</v>
      </c>
    </row>
    <row r="467" customFormat="false" ht="16.5" hidden="false" customHeight="true" outlineLevel="0" collapsed="false">
      <c r="A467" s="26" t="s">
        <v>633</v>
      </c>
      <c r="B467" s="27" t="s">
        <v>1358</v>
      </c>
      <c r="C467" s="26" t="n">
        <v>218</v>
      </c>
      <c r="D467" s="9" t="s">
        <v>1782</v>
      </c>
      <c r="E467" s="26" t="s">
        <v>1536</v>
      </c>
      <c r="F467" s="26" t="n">
        <v>10.7</v>
      </c>
      <c r="G467" s="26" t="s">
        <v>1039</v>
      </c>
      <c r="H467" s="6" t="s">
        <v>451</v>
      </c>
    </row>
    <row r="468" customFormat="false" ht="16.5" hidden="false" customHeight="true" outlineLevel="0" collapsed="false">
      <c r="A468" s="26" t="s">
        <v>633</v>
      </c>
      <c r="B468" s="27" t="s">
        <v>1358</v>
      </c>
      <c r="C468" s="26" t="n">
        <v>219</v>
      </c>
      <c r="D468" s="9" t="s">
        <v>1783</v>
      </c>
      <c r="E468" s="26" t="s">
        <v>1784</v>
      </c>
      <c r="F468" s="26" t="n">
        <v>12.3</v>
      </c>
      <c r="G468" s="26" t="s">
        <v>1039</v>
      </c>
      <c r="H468" s="6" t="s">
        <v>451</v>
      </c>
    </row>
    <row r="469" customFormat="false" ht="16.5" hidden="false" customHeight="true" outlineLevel="0" collapsed="false">
      <c r="A469" s="26" t="s">
        <v>633</v>
      </c>
      <c r="B469" s="27" t="s">
        <v>1358</v>
      </c>
      <c r="C469" s="26" t="n">
        <v>220</v>
      </c>
      <c r="D469" s="9" t="s">
        <v>1785</v>
      </c>
      <c r="E469" s="26" t="s">
        <v>1786</v>
      </c>
      <c r="F469" s="26" t="n">
        <v>12.2</v>
      </c>
      <c r="G469" s="26" t="s">
        <v>1039</v>
      </c>
      <c r="H469" s="6" t="s">
        <v>451</v>
      </c>
    </row>
    <row r="470" customFormat="false" ht="30" hidden="false" customHeight="true" outlineLevel="0" collapsed="false">
      <c r="A470" s="26" t="s">
        <v>633</v>
      </c>
      <c r="B470" s="27" t="s">
        <v>1358</v>
      </c>
      <c r="C470" s="26" t="n">
        <v>221</v>
      </c>
      <c r="D470" s="9" t="s">
        <v>1787</v>
      </c>
      <c r="E470" s="26" t="s">
        <v>1788</v>
      </c>
      <c r="F470" s="26" t="n">
        <v>20.9</v>
      </c>
      <c r="G470" s="26" t="s">
        <v>1039</v>
      </c>
      <c r="H470" s="6" t="s">
        <v>451</v>
      </c>
    </row>
    <row r="471" customFormat="false" ht="30" hidden="false" customHeight="true" outlineLevel="0" collapsed="false">
      <c r="A471" s="26" t="s">
        <v>633</v>
      </c>
      <c r="B471" s="27" t="s">
        <v>1358</v>
      </c>
      <c r="C471" s="26" t="n">
        <v>222</v>
      </c>
      <c r="D471" s="9" t="s">
        <v>1789</v>
      </c>
      <c r="E471" s="26" t="s">
        <v>1375</v>
      </c>
      <c r="F471" s="26" t="n">
        <v>6.2</v>
      </c>
      <c r="G471" s="26" t="s">
        <v>1126</v>
      </c>
      <c r="H471" s="6" t="s">
        <v>441</v>
      </c>
    </row>
    <row r="472" customFormat="false" ht="16.5" hidden="false" customHeight="true" outlineLevel="0" collapsed="false">
      <c r="A472" s="26" t="s">
        <v>633</v>
      </c>
      <c r="B472" s="27" t="s">
        <v>1358</v>
      </c>
      <c r="C472" s="26" t="n">
        <v>223</v>
      </c>
      <c r="D472" s="9" t="s">
        <v>1790</v>
      </c>
      <c r="E472" s="26" t="s">
        <v>758</v>
      </c>
      <c r="F472" s="26" t="n">
        <v>24.6</v>
      </c>
      <c r="G472" s="26" t="s">
        <v>971</v>
      </c>
      <c r="H472" s="6" t="s">
        <v>330</v>
      </c>
    </row>
    <row r="473" customFormat="false" ht="16.5" hidden="false" customHeight="true" outlineLevel="0" collapsed="false">
      <c r="A473" s="26" t="s">
        <v>633</v>
      </c>
      <c r="B473" s="27" t="s">
        <v>1358</v>
      </c>
      <c r="C473" s="26" t="n">
        <v>224</v>
      </c>
      <c r="D473" s="9" t="s">
        <v>1791</v>
      </c>
      <c r="E473" s="26" t="s">
        <v>1792</v>
      </c>
      <c r="F473" s="26" t="n">
        <v>16.8</v>
      </c>
      <c r="G473" s="26" t="s">
        <v>1454</v>
      </c>
      <c r="H473" s="6" t="s">
        <v>608</v>
      </c>
    </row>
  </sheetData>
  <autoFilter ref="A1:H473"/>
  <hyperlinks>
    <hyperlink ref="D2" r:id="rId1" display="How to Install Java OpenJDK on Windows 11"/>
    <hyperlink ref="D3" r:id="rId2" display="What is JDK, JVM, JRE, javac, Byte code, JIT ? Complete Execution Process !"/>
    <hyperlink ref="D4" r:id="rId3" display="Install IntelliJ IDEA in 5 Minutes! 🚀 Easiest Way for Beginners (2026 Windows Guide)"/>
    <hyperlink ref="D5" r:id="rId4" display="Understanding the skeleton of a Java Program | What is main method in Java ?"/>
    <hyperlink ref="D6" r:id="rId5" display="Primitive Data Types in Java in Hindi | Byte, Short, Int, Long, Float, Double, Char &amp; Boolean"/>
    <hyperlink ref="D7" r:id="rId6" display="Java Essentials: How to Properly Name Your Variables"/>
    <hyperlink ref="D8" r:id="rId7" display="Become a Math Wiz: Understanding Arithmetic Operators – From Basics to Advanced!"/>
    <hyperlink ref="D9" r:id="rId8" display="Bitwise operators in Java | and, or, not, xor, left shift, right shift &amp; unsigned right shift"/>
    <hyperlink ref="D10" r:id="rId9" display="Println vs Print vs Printf in Java"/>
    <hyperlink ref="D11" r:id="rId10" display="Java Strings Explained: Understanding String Data Types, Heap Storage, and String Pool"/>
    <hyperlink ref="D12" r:id="rId11" display="Master Java String Methods: A Comprehensive Guide for Beginners"/>
    <hyperlink ref="D13" r:id="rId12" display="How to Use Conditional Statements in Java: If, Else If, Else, Switch case"/>
    <hyperlink ref="D14" r:id="rId13" display="Java Loops Explained: For, While, and Do-While Loops"/>
    <hyperlink ref="D15" r:id="rId14" display="Mastering Java Arrays: 1D, 2D, and Jagged Arrays Explained"/>
    <hyperlink ref="D16" r:id="rId15" display="Master OOP in Java: Encapsulation, Abstraction, Polymorphism &amp; Inheritance Explained in 20 Minutes"/>
    <hyperlink ref="D17" r:id="rId16" display="Methods in Java | Overloading | Signature | Mutability"/>
    <hyperlink ref="D18" r:id="rId17" display="Easiest Way to Learn Recursion: Beginner-Friendly Guide"/>
    <hyperlink ref="D19" r:id="rId18" display="Understand Packages and Classpath in 15 minutes"/>
    <hyperlink ref="D20" r:id="rId19" display="Encapsulation in Java in 15 minutes"/>
    <hyperlink ref="D21" r:id="rId20" display="What are constructors in Java ?"/>
    <hyperlink ref="D22" r:id="rId21" display="Inheritance in Java | Method Overriding | super keyword"/>
    <hyperlink ref="D23" r:id="rId22" display="Polymorphism: Compile Time vs Run Time ( Dynamic Method Dispatch )"/>
    <hyperlink ref="D24" r:id="rId23" display="Abstraction in Java | Abstract Class | Abstract Method"/>
    <hyperlink ref="D25" r:id="rId24" display="Access Modifiers: Public, Private, Default &amp; Protected"/>
    <hyperlink ref="D26" r:id="rId25" display="Mastering Static in Java: Static variable, method &amp; block"/>
    <hyperlink ref="D27" r:id="rId26" display="Mastering the Final Keyword in Java: Everything You Need to Know!"/>
    <hyperlink ref="D28" r:id="rId27" display="Mastering Java Interfaces: Static &amp; Default Methods, Multiple Inheritance Explained"/>
    <hyperlink ref="D29" r:id="rId28" display="Exploring Inner Classes in Java: Static, Member, Local, and Anonymous Types"/>
    <hyperlink ref="D30" r:id="rId29" display="Master Exceptions in Java: Try, Catch, Finally, Throw, Throws, try-with-resources &amp; Custom Exception"/>
    <hyperlink ref="D31" r:id="rId30" display="Mastering Wrapper Classes in Java: Autoboxing, Autounboxing, Methods Explained"/>
    <hyperlink ref="D32" r:id="rId31" display="Master Math in Java: Min, Max, Ceil, Floor, Round, Random, Pi, Log, Sin, Cos &amp; More!"/>
    <hyperlink ref="D33" r:id="rId32" display="Understanding Enums in Java: Internal working, toString, values, ordinal, valueOf &amp; much more !"/>
    <hyperlink ref="D34" r:id="rId33" display="Java Multithreading: Synchronization, Locks, Executors, Deadlock, CountdownLatch &amp; CompletableFuture"/>
    <hyperlink ref="D35" r:id="rId34" display="Volatile vs Atomic in Java: Thread Safety Explained"/>
    <hyperlink ref="D36" r:id="rId35" display="Java Generics Explained: Classes, Methods, Interfaces, Enums, &amp; Exceptions | Full Tutorial"/>
    <hyperlink ref="D37" r:id="rId36" display="Complete Java Collections Framework &amp; Streams Masterclass 2026"/>
    <hyperlink ref="D38" r:id="rId37" display="Java String vs StringBuilder vs StringBuffer: Best Practices &amp; Performance"/>
    <hyperlink ref="D39" r:id="rId38" display="JAVA Tutorial | Session 01 | Why Java |  Roadmap &amp; Importance of Java | By Mr. Dilip Singh"/>
    <hyperlink ref="D40" r:id="rId39" display="JAVA Tutorial | Session 02 | Role of Frontend/Backend/ Full Stack Developer  |  Lang. v/s Framework"/>
    <hyperlink ref="D41" r:id="rId40" display="JAVA Tutorial | Session 03 | Importance of Micro Services &amp; Java Language Release &amp; Version Details"/>
    <hyperlink ref="D42" r:id="rId41" display="JAVA Tutorial | Session 04 | What is Operating System &amp; Prog.  Lang. | Types of Software Application"/>
    <hyperlink ref="D43" r:id="rId42" display="JAVA Tutorial | Session 05 | Steps of JAVA  / JDK  Installation | Writing, Execution of Java Program"/>
    <hyperlink ref="D44" r:id="rId43" display="JAVA Tutorial | Session 06 | Java Compiler v/s Interpreter | What is JVM | Source Code v/s Byte Code"/>
    <hyperlink ref="D45" r:id="rId44" display="JAVA Tutorial | Session 07 | Features of Java | Platform Dependent vs InDependent | Class v/s Object"/>
    <hyperlink ref="D46" r:id="rId45" display="JAVA Tutorial | Session 08 | Implementation of Class | Execution Flow Of Logic From main() Method"/>
    <hyperlink ref="D47" r:id="rId46" display="JAVA Tutorial | Session 09 |  Overview of Object | Variables &amp; Datatypes | Primitive Datatypes"/>
    <hyperlink ref="D48" r:id="rId47" display="JAVA Tutorial | Session 10 | Primitive Datatypes | Range of Values &amp; Memory Allocation | Examples"/>
    <hyperlink ref="D49" r:id="rId48" display="JAVA Tutorial | Session 11 | Memory of Primitive Datatypes | Categories of Non-Primitive Data Types"/>
    <hyperlink ref="D50" r:id="rId49" display="JAVA Real Time Training - Day 12 | Data Types &amp; Variables in JAVA | By Dilip IT Academy - DIT"/>
    <hyperlink ref="D51" r:id="rId50" display="JAVA Real Time Training Day 13 || Static vs Non-Static  Variables  || By Dilip IT Academy (DIT)"/>
    <hyperlink ref="D52" r:id="rId51" display="JAVA Real Time Training - Day 14 | Static V/S Non-Static  Variables  | By Dilip IT Academy - DIT"/>
    <hyperlink ref="D53" r:id="rId52" display="JAVA Real Time Training - Day 15 | Methods in Java | By Dilip IT Academy - DIT"/>
    <hyperlink ref="D54" r:id="rId53" display="JAVA Real Time Training - Day 16 | Methods in Java | By Dilip IT Academy - DIT"/>
    <hyperlink ref="D55" r:id="rId54" display="JAVA Real Time Training - Day 17 | Methods in Java | By Dilip IT Academy - DIT"/>
    <hyperlink ref="D56" r:id="rId55" display="JAVA Real Time Training - Day 18 | How to Access Methods in Java | By Dilip IT Academy - DIT"/>
    <hyperlink ref="D57" r:id="rId56" display="JAVA Real Time Training - Day 19 | String Methods &amp; Operations in Java | By Dilip IT Academy - DIT"/>
    <hyperlink ref="D58" r:id="rId57" display="JAVA Real Time Training - Day 20 | API Documentation &amp; Eclipse IDE Setup | By Dilip IT Academy - DIT"/>
    <hyperlink ref="D59" r:id="rId58" display="JAVA Real Time Training - Day 21 | packages in Java | By Dilip IT Academy - DIT"/>
    <hyperlink ref="D60" r:id="rId59" display="JAVA Real Time Training - Day 22 | package &amp; import in Java | By Dilip IT Academy - DIT"/>
    <hyperlink ref="D61" r:id="rId60" display="JAVA Real Time Training - Day 23 |Naming Conventions in Java | By Dilip IT Academy - DIT"/>
    <hyperlink ref="D62" r:id="rId61" display="JAVA Real Time Training - Day 24 | Types of Operators in Java | By Dilip IT Academy - DIT"/>
    <hyperlink ref="D63" r:id="rId62" display="JAVA Real Time Training - Day 25 |Types of Operators In Java | By Dilip IT Academy - DIT"/>
    <hyperlink ref="D64" r:id="rId63" display="JAVA Real Time Training - Day 26 |Operators In Java | By Dilip IT Academy - DIT"/>
    <hyperlink ref="D65" r:id="rId64" display="JAVA Real Time Training - Day 27 | Control Flow Statements | By Dilip Singh - Dilip IT"/>
    <hyperlink ref="D66" r:id="rId65" display="JAVA Real Time Training - Day 28 | Control Statements In Java | By Dilip IT Academy - DIT"/>
    <hyperlink ref="D67" r:id="rId66" display="JAVA Real Time Training - Day 29 |Switch Statement In Java | By Dilip IT Academy - DIT"/>
    <hyperlink ref="D68" r:id="rId67" display="JAVA Real Time Training - Day 30 | Looping Statements In Java | By Dilip IT Academy - DIT"/>
    <hyperlink ref="D69" r:id="rId68" display="JAVA Real Time Training - Day 31 |Looping Statements In Java | By Dilip IT Academy - DIT"/>
    <hyperlink ref="D70" r:id="rId69" display="JAVA Real Time Training - Day 32 |Branching Statements In Java | By Dilip IT Academy - DIT"/>
    <hyperlink ref="D71" r:id="rId70" display="JAVA Real Time Training - Day 33 | User Dynamic Input of Data In Java | By Dilip IT Academy - DIT"/>
    <hyperlink ref="D72" r:id="rId71" display="JAVA Real Time Training - Day 34 | Constructors In Java | By Dilip IT Academy - DIT"/>
    <hyperlink ref="D73" r:id="rId72" display="JAVA Real Time Training - Day 35 | Constructors &amp; Types of Constructors In Java |Dilip Singh"/>
    <hyperlink ref="D74" r:id="rId73" display="JAVA Real Time Training - Day 36 | Arrays In Java | By Dilip IT Academy - DIT"/>
    <hyperlink ref="D75" r:id="rId74" display="JAVA Real Time Training - Day 37 | Arrays &amp; Array Operations In Java | By Dilip IT Academy - DIT"/>
    <hyperlink ref="D76" r:id="rId75" display="JAVA Real Time Training - Day 38 | Arrays &amp; Array Operations In Java | By Dilip IT Academy - DIT"/>
    <hyperlink ref="D77" r:id="rId76" display="JAVA Real Time Training - Day 39 |Command Line Arguments In Java | By Dilip IT Academy - DIT"/>
    <hyperlink ref="D78" r:id="rId77" display="JAVA Real Time Training - Day 40 |Wrapper Classes In Java | By Dilip IT Academy - DIT"/>
    <hyperlink ref="D79" r:id="rId78" display="JAVA Real Time Training - Day 41 |Inheritence &amp; Types of Inheritence In Java | By Dilip IT Academy"/>
    <hyperlink ref="D80" r:id="rId79" display="JAVA Real Time Training - Day 42 | Inheritence  &amp; Types of Inheritence In Java | By Dilip Singh"/>
    <hyperlink ref="D81" r:id="rId80" display="JAVA Real Time Training - Day 43 | Implementation of Inheritence With Examples | Dilip Singh"/>
    <hyperlink ref="D82" r:id="rId81" display="JAVA Real Time Training - Day 44 | Abstraction in Java | Interfaces in Java | Dilip Singh"/>
    <hyperlink ref="D83" r:id="rId82" display="JAVA Real Time Training - Day 45 | Interfaces &amp; Implementation of Classes | Interface v/s Class"/>
    <hyperlink ref="D84" r:id="rId83" display="JAVA Real Time Training - Day 46 | Interfaces &amp; Abstract Classes | Interface v/s Abstract Class"/>
    <hyperlink ref="D85" r:id="rId84" display="JAVA Real Time Training - Day 47 |  Types of Inheritance with Interfaces | Multiple Inheritence"/>
    <hyperlink ref="D86" r:id="rId85" display="JAVA Real Time Training - Day 48 | Abstract Classes &amp; Abstract Methods | Interface vs Abstract Class"/>
    <hyperlink ref="D87" r:id="rId86" display="JAVA Real Time Training - Day 49 | Abstract Classes &amp; Abstract Methods| Interface v/s Abstract Class"/>
    <hyperlink ref="D88" r:id="rId87" display="JAVA Real Time Training - Day 50 | Method Overloading &amp; Method Overriding | Polymorphism"/>
    <hyperlink ref="D89" r:id="rId88" display="JAVA Real Time Training - Day 51 | Method Overriding | Real Time Examples of Method Overriding"/>
    <hyperlink ref="D90" r:id="rId89" display="JAVA Real Time Training - Day 52 | final class &amp; final methods | abstract class vs final class | FAQ"/>
    <hyperlink ref="D91" r:id="rId90" display="JAVA Real Time Training - Day 53 | this &amp; super keywords |  Difference between this &amp;  super | Dilip"/>
    <hyperlink ref="D92" r:id="rId91" display="JAVA Real Time Training - Day 54 | this &amp; super keywords |  Difference between this &amp;  super | Dilip"/>
    <hyperlink ref="D93" r:id="rId92" display="JAVA Real Time Training - Day 55 | this &amp; super keywords |  Difference between this &amp;  super | Dilip"/>
    <hyperlink ref="D94" r:id="rId93" display="JAVA Real Time Training - Day 56 | polymorphism | compiletime/static &amp; runtime/dynamic polymorphism"/>
    <hyperlink ref="D95" r:id="rId94" display="JAVA Real Time Training - Day 57 | polymorphism | compiletime/static &amp; runtime/dynamic polymorphism"/>
    <hyperlink ref="D96" r:id="rId95" display="JAVA Real Time Training - Day 58 | Access Specifiers | Access Modifiers | Scenarios &amp; Examples"/>
    <hyperlink ref="D97" r:id="rId96" display="JAVA Real Time Training - Day 59 | Encapsulation in Java | Data Binding in Java"/>
    <hyperlink ref="D98" r:id="rId97" display="JAVA Real Time Training - Day 60 | POJO class Implementation | Setter &amp; Getter Methods | DTO Class"/>
    <hyperlink ref="D99" r:id="rId98" display="JAVA Real Time Training - Day 61 | Object class | Object Class Methods | Importance of Object Class"/>
    <hyperlink ref="D100" r:id="rId99" display="JAVA Real Time Training - Day 62 | Object class | equals() &amp; hashcode() contract |scenarios|examples"/>
    <hyperlink ref="D101" r:id="rId100" display="JAVA Real Time Training - Day 63 | Type Casting | Implicit &amp; Explicit Type Casting"/>
    <hyperlink ref="D102" r:id="rId101" display="JAVA Real Time Training - Day 64 | default &amp; static Methods in Interfaces | Backward Compatability"/>
    <hyperlink ref="D103" r:id="rId102" display="JAVA Real Time Training - Day 65 | default &amp; static Methods in Interfaces | Practical Examples"/>
    <hyperlink ref="D104" r:id="rId103" display="Mastering Java Applications Debugging | Step-by-Step Guide | Debug Mode | Break Points | Dilip Singh"/>
    <hyperlink ref="D105" r:id="rId104" display="JAVA Real Time Training - Day 66 | Annotations | Declaring Annotations | Custom Annotation"/>
    <hyperlink ref="D106" r:id="rId105" display="JAVA Real Time Training - Day 67 | Functional Interfaces | Lambda Expressions"/>
    <hyperlink ref="D107" r:id="rId106" display="JAVA Real Time Training - Day 68 | Functional Interfaces | Lambda Expressions Implementation"/>
    <hyperlink ref="D108" r:id="rId107" display="JAVA Real Time Training - Day 69 | Lambda Exp. Examples | Exception Handling | Exception vs Error"/>
    <hyperlink ref="D109" r:id="rId108" display="JAVA Real Time Training - Day 70 | Exception Handling | Exception Classes | NullPointerException"/>
    <hyperlink ref="D110" r:id="rId109" display="JAVA Course - Session 71 | Exception Handling | Types of Exceptions | try catch finally blocks"/>
    <hyperlink ref="D111" r:id="rId110" display="JAVA Course - Session 72 | Exception Handling | try catch finally blocks | Interview FAQ's"/>
    <hyperlink ref="D112" r:id="rId111" display="JAVA Course - Session 73 | Exception Handling | try catch finally blocks | Interview FAQ's"/>
    <hyperlink ref="D113" r:id="rId112" display="JAVA Course - Session 74 | Exception Handling |  finally blocks | throws &amp; throw keywords"/>
    <hyperlink ref="D114" r:id="rId113" display="JAVA Course - Session 75 | Exception Handling |throws v/s throw | UserDefined/Custom Exception"/>
    <hyperlink ref="D115" r:id="rId114" display="JAVA Course - Session 76 | Collections Framework |  Interfaces &amp; Classes | Examples | FAQ's"/>
    <hyperlink ref="D116" r:id="rId115" display="JAVA Course - Session 77 | Collections Framework |  List Interface &amp; Impl. Classes | Generics"/>
    <hyperlink ref="D117" r:id="rId116" display="JAVA Course - Session 78 | Collections Framework |  List Interface &amp; Impl. Classes | Generics"/>
    <hyperlink ref="D118" r:id="rId117" display="JAVA Course - Session 79 | Collections Framework |  List Interface | ArrayList v/s LinkedList"/>
    <hyperlink ref="D119" r:id="rId118" display="JAVA Course - Session 80 | Collections Framework | List Interface | ArrayList | LinkedList | Vector"/>
    <hyperlink ref="D120" r:id="rId119" display="JAVA Course - Session 81 | Collections Framework |  List |  ArrayList v/s LinkedList v/s Vector"/>
    <hyperlink ref="D121" r:id="rId120" display="JAVA Course - Session 82 | Collections Framework | Set Interface | HashSet &amp; TreeSet | List v/s Set"/>
    <hyperlink ref="D122" r:id="rId121" display="JAVA Course - Session 83 | Collections Framework | Map Interface | HashMap &amp; TreeSet Classes | FAQ's"/>
    <hyperlink ref="D123" r:id="rId122" display="JAVA Course - Session 84 | Collections Framework | Map Interface | HashMap With Custom Objects"/>
    <hyperlink ref="D124" r:id="rId123" display="JAVA Course - Session 85 | Collection Framework | Map Interface | HashMap &amp; TreeMap &amp; HashSet"/>
    <hyperlink ref="D125" r:id="rId124" display="JAVA Course - Session 86 | Predicate, Function, Consumer, Supplier | Functional Interfaces"/>
    <hyperlink ref="D126" r:id="rId125" display="JAVA Course - Session 87 | Predicate, Function, Consumer, Supplier | Functional Interfaces"/>
    <hyperlink ref="D127" r:id="rId126" display="JAVA Course - Session 88 | Stream API | Operations | Methods | FAQ's"/>
    <hyperlink ref="D128" r:id="rId127" display="JAVA Course - Session 89 | Stream API | Stream Pipeline | Intermediate &amp; Terminal Operations"/>
    <hyperlink ref="D129" r:id="rId128" display="Method References  in JAVA | Constructor References in JAVA | Dilip Singh"/>
    <hyperlink ref="D130" r:id="rId129" display="Optional Class In Java &amp; Optional Class Methods in JAVA | Tutorail | Dilip Singh"/>
    <hyperlink ref="D131" r:id="rId130" display="Stream API in JAVA | All Stream API Methods &amp; Operations | Stream API Interview Questions"/>
    <hyperlink ref="D132" r:id="rId131" display="JAVA Course - Session 90 | Stream API | Stream Pipeline | Collectors Class | collect() | Grouping"/>
    <hyperlink ref="D133" r:id="rId132" display="JAVA Course - Session 91 | Stream API | Stream Pipeline | Collectors Class Methods | collect()"/>
    <hyperlink ref="D134" r:id="rId133" display="JAVA Course - Session 92 | Optional Class &amp; Methods | Use Cases | Interview FAQ's | Part 01"/>
    <hyperlink ref="D135" r:id="rId134" display="JAVA Course - Session 93 | Optional Class &amp; Methods | Use Cases | FAQ's |  Part 02"/>
    <hyperlink ref="D136" r:id="rId135" display="JAVA Course - Session 95 | Constructor References | ENUM | Enumeration in Java"/>
    <hyperlink ref="D137" r:id="rId136" display="JAVA Course - Session 94 | Method &amp; Constructor References | Types of Method Refereences"/>
    <hyperlink ref="D138" r:id="rId137" display="JAVA Course - Session 96 | Threads | Thread Life Cycle | Multi Threading | FAQ's | Part 01"/>
    <hyperlink ref="D139" r:id="rId138" display="JAVA Course - Session 97 | Threads | Thread Life Cycle | Multi Threading | FAQ's | Part 02"/>
    <hyperlink ref="D140" r:id="rId139" display="JAVA Course - Session 98 | Threads |Multi Threading | Synchronized Methods &amp; Blocks |FAQ's | Part 03"/>
    <hyperlink ref="D141" r:id="rId140" display="Ultimate Java Basics to Advanced Roadmap | Java Course Roadmap for Beginners | Java learning Roadmap"/>
    <hyperlink ref="D142" r:id="rId141" display="1. OOPs Concept in Java with Examples | 4 Pillars of Object Oriented Programming (OOPs)"/>
    <hyperlink ref="D143" r:id="rId142" display="2. How Java Program Works and its 3 Important Components (JVM, JRE and JDK) with Example"/>
    <hyperlink ref="D144" r:id="rId143" display="3. Quiz Question: Why only 1 Public Class in JAVA file"/>
    <hyperlink ref="D145" r:id="rId144" display="4. Java Variables - Part1 | Primitive Data Types in Depth"/>
    <hyperlink ref="D146" r:id="rId145" display="5. How FLOAT and DOUBLE  Number Stored in Memory?  |  IEEE 754 Representation"/>
    <hyperlink ref="D147" r:id="rId146" display="6. Java Variables - Part2 | Reference/Non-Primitive Data Types in Depth"/>
    <hyperlink ref="D148" r:id="rId147" display="7. Java Methods in Depth | Different Types of Methods with Examples"/>
    <hyperlink ref="D149" r:id="rId148" display="8. Java Constructor in Depth | Different Types of Constructor with Examples"/>
    <hyperlink ref="D150" r:id="rId149" display="9. Java Memory Management and Garbage Collection in Depth"/>
    <hyperlink ref="D151" r:id="rId150" display="10. Java Classes in Depth - Part1 | Nested Class, Concrete, Abstract, Object, Super and Sub Class"/>
    <hyperlink ref="D152" r:id="rId151" display="11. Java Generic Classes | Java Classes in Depth - Part2"/>
    <hyperlink ref="D153" r:id="rId152" display="12. Java Enum, POJO and Final Classes Explained with Examples | Java Classes in Depth - Part3"/>
    <hyperlink ref="D154" r:id="rId153" display="13. Java Singleton and Immutable Class Explained with Examples | Java Classes in Depth - Part4"/>
    <hyperlink ref="D155" r:id="rId154" display="14. Java Interface in Depth - Part1"/>
    <hyperlink ref="D156" r:id="rId155" display="15. Default, Static &amp; Private Method in Interface - Java8 and Java9 features | Java Interfaces Part2"/>
    <hyperlink ref="D157" r:id="rId156" display="16. Functional Interface and Lambda Expression - Java8 features | Java Interfaces Part3"/>
    <hyperlink ref="D158" r:id="rId157" display="17. Java Reflection in Depth (Using Examples)"/>
    <hyperlink ref="D159" r:id="rId158" display="18. Java Annotations with Examples"/>
    <hyperlink ref="D160" r:id="rId159" display="19. Exception Handling in Java with Examples"/>
    <hyperlink ref="D161" r:id="rId160" display="20. Operators in Java | Different Types of Operators in JAVA"/>
    <hyperlink ref="D162" r:id="rId161" display="21. Control Flow Statements in Java | Decision Making, Looping and Branching Statements"/>
    <hyperlink ref="D163" r:id="rId162" display="22. Collections in Java - Part1 | Java Collections Framework in depth"/>
    <hyperlink ref="D164" r:id="rId163" display="23. Collections in Java - Part2 | Comparator Vs Comparable | PriorityQueue"/>
    <hyperlink ref="D165" r:id="rId164" display="24. Collections in Java - Part3 | Deque and List in Depth"/>
    <hyperlink ref="D166" r:id="rId165" display="25. Collections in Java - Part4 | HashMap Internal Working in Java"/>
    <hyperlink ref="D167" r:id="rId166" display="26. Collections in Java - Part5 | LinkedHashMap and TreeMap in depth"/>
    <hyperlink ref="D168" r:id="rId167" display="27. Collections in Java - Part6 | SET"/>
    <hyperlink ref="D169" r:id="rId168" display="28. Streams in Java8 | Collections in Java - Part7"/>
    <hyperlink ref="D170" r:id="rId169" display="29. Multithreading and Concurrency in Java: Part1 | Threads, Process and their Memory Model in depth"/>
    <hyperlink ref="D171" r:id="rId170" display="30. Thread Creation, Thread Lifecycle and Inter-Thread Communication | Multithreading in Java: Part2"/>
    <hyperlink ref="D172" r:id="rId171" display="31. Thread Joining, Daemon Thread, Thread Priority | Multithreading in Java: Part3"/>
    <hyperlink ref="D173" r:id="rId172" display="32. Locks and Condition | Java Multithreading Part4 | Reentrant, ReadWrite, Stamped &amp; Semaphore Lock"/>
    <hyperlink ref="D174" r:id="rId173" display="33. Lock-Free Concurrency | Compare-and-Swap | Atomic &amp; Volatile Variables | Multithreading Part5"/>
    <hyperlink ref="D175" r:id="rId174" display="34. Thread Pools in Java | ThreadPoolExecutor Framework | Multithreading Part6"/>
    <hyperlink ref="D176" r:id="rId175" display="35. Java8 CompletableFuture |  Future and Callable in Java | Multithreading in Java - Part7"/>
    <hyperlink ref="D177" r:id="rId176" display="36. Java ForkJoinPool || WorkStealingPool || FixedThreadPool || CachedThreadPool || SingleThreadPool"/>
    <hyperlink ref="D178" r:id="rId177" display="37. Java ScheduledThreadPoolExecutor || Shutdown Vs AwaitTermination || Multithreading in Java"/>
    <hyperlink ref="D179" r:id="rId178" display="38. Java VirtualThreads vs Normal Threads || ThreadLocal in Java"/>
    <hyperlink ref="D180" r:id="rId179" display="39. Project Lombok in Java in depth | Lombok top 10 features"/>
    <hyperlink ref="D181" r:id="rId180" display="Java 21 : SequencedCollection, SequencedSet and SequencedMap"/>
    <hyperlink ref="D182" r:id="rId181" display="Java 17 : Sealed Classes and Interfaces"/>
    <hyperlink ref="D183" r:id="rId182" display="Java 14: Switch Expressions Deep Dive"/>
    <hyperlink ref="D184" r:id="rId183" display="Java 16: Pattern Matching for instanceof"/>
    <hyperlink ref="D185" r:id="rId184" display="Java 21: Pattern Matching for switch"/>
    <hyperlink ref="D186" r:id="rId185" display="Java 16: Record class"/>
    <hyperlink ref="D187" r:id="rId186" display="Java 15: Text Blocks"/>
    <hyperlink ref="D188" r:id="rId187" display="Master Java Optional from Java 8 to 11 | All Methods with Real Examples"/>
    <hyperlink ref="D189" r:id="rId188" display="Java File Handling Explained | Streams, Buffers, Readers &amp; Writers"/>
    <hyperlink ref="D190" r:id="rId189" display="Java NIO Deep Dive (Part-1): Advantages of NIO over Traditional File I/O"/>
    <hyperlink ref="D191" r:id="rId190" display="Java NIO Deep Dive (Part2): ByteBuffer, HeapByteBuffer, DirectByteBuffer, MappedByteBuffer"/>
    <hyperlink ref="D192" r:id="rId191" display="Java NIO Deep Dive (Part3): FileChannel and Complete Code Examples"/>
    <hyperlink ref="D193" r:id="rId192" display="JAVA Full Course | Introduction to JAVA | Java Full Course for Beginners in 2026"/>
    <hyperlink ref="D194" r:id="rId193" display="Write Your First JAVA Program | JVM, JDK &amp; JRE Explained | JSE vs JEE vs JME | JAVA Full Course #2"/>
    <hyperlink ref="D195" r:id="rId194" display="Java Variables &amp; Data Types Explained | Identifiers, Literals, Keywords | JAVA Full Course #3"/>
    <hyperlink ref="D196" r:id="rId195" display="How Java Stores Negative &amp; Floating Point Numbers | Java Full Course #4"/>
    <hyperlink ref="D197" r:id="rId196" display="Java Type Conversions &amp; Type Promotions Explained | Casting in Java | Java Full Course #5"/>
    <hyperlink ref="D198" r:id="rId197" display="Java Operators | Arithmetic + Unary + Logical + Bitwise + Assignment Operators | Java Full Course #6"/>
    <hyperlink ref="D199" r:id="rId198" display="Java Conditional Statements | If, If-Else, If-Else-If Ladder, Switch Explained | Full Java Course #7"/>
    <hyperlink ref="D200" r:id="rId199" display="Java Loops &amp; Jump Statements | for, while, do-while, break, continue Explained | Java Full Course #8"/>
    <hyperlink ref="D201" r:id="rId200" display="Introduction to Arrays | Declaration, Initialization, Traversal | String Intro | Java Full Course #9"/>
    <hyperlink ref="D202" r:id="rId201" display="How Arrays work in Java | Heap, Contiguous Storage, Random Access | Java Full Course #10"/>
    <hyperlink ref="D203" r:id="rId202" display="Java Functions Deep Dive | Recursion | Method Overloading | Java Full Course #11"/>
    <hyperlink ref="D204" r:id="rId203" display="Object Oriented Programming  in Java | Classes, Objects, new Keyword | Java Full Course #12"/>
    <hyperlink ref="D205" r:id="rId204" display="Constructors in Java | Constructor Chaining, Overloading &amp; this | Java Full Course #13"/>
    <hyperlink ref="D206" r:id="rId205" display="Objects Deep Dive | Size, Call by Value vs Reference | Shallow vs Deep Copy | Java Full Course #14"/>
    <hyperlink ref="D207" r:id="rId206" display="Static &amp; Final in Java | Static Methods, Blocks &amp; String[] args | Java Full Course #15"/>
    <hyperlink ref="D208" r:id="rId207" display="Encapsulation &amp; Inheritance in Java | Java Packages &amp; Super Keyword | Java Full Course #16"/>
    <hyperlink ref="D209" r:id="rId208" display="Abstraction &amp; Polymorphism in Depth | Abstract Class vs Interfaces | Java Full Course #17"/>
    <hyperlink ref="D210" r:id="rId209" display="AutoBoxing, Abstract classes &amp; POJOs | Why only one public class in java file | Java Full Course #18"/>
    <hyperlink ref="D211" r:id="rId210" display="Java Nested Classes | Static Nested, Inner, Local &amp; Anonymous Classes | Java Full Course #19"/>
    <hyperlink ref="D212" r:id="rId211" display="Java I/O Deep Dive | InputStreams, System.in, Scanner vs BufferedReader | Java Full Course #20"/>
    <hyperlink ref="D213" r:id="rId212" display="Immutable Classes in Java | How to Create Immutable Objects | Java Full Course #21"/>
    <hyperlink ref="D214" r:id="rId213" display="Most Important Class in Java | Object Class (equals, hashCode, toString) | Java Full Course #22"/>
    <hyperlink ref="D215" r:id="rId214" display="Java Enums | Why Not Use int/String for Constants? | Java Full Course #23"/>
    <hyperlink ref="D216" r:id="rId215" display="Java Interfaces Deep Dive | Default Methods, Functional, Marker Interfaces | Java Full Course #24"/>
    <hyperlink ref="D217" r:id="rId216" display="Java Strings | String Pool, Immutability, Internals | Java Full Course #25"/>
    <hyperlink ref="D218" r:id="rId217" display="Java Strings Part 2 | All String Methods + StringBuilder vs StringBuffer | Java Full Course #26"/>
    <hyperlink ref="D219" r:id="rId218" display="Java Generics Deep Dive | Bounded Types using extends | Java Full Course #27"/>
    <hyperlink ref="D220" r:id="rId219" display="Wildcards in Generics | ?, ? extends, ? super  | Java Full Course #28"/>
    <hyperlink ref="D221" r:id="rId220" display="Java Collection Framework Explained | Data Structures + Complete Hierarchy | Java Full Course #29"/>
    <hyperlink ref="D222" r:id="rId221" display="Iterable Interface in Java | Why Iterator Exists? | For-Each Loop | Java Full Course #30"/>
    <hyperlink ref="D223" r:id="rId222" display="Java Collection Interface Deep Dive | Methods &amp; Internals | Java Full Course #31"/>
    <hyperlink ref="D224" r:id="rId223" display="Java List Interface Deep Dive | ArrayList, LinkedList, Vector, Stack | Java Full Course #32"/>
    <hyperlink ref="D225" r:id="rId224" display="Set &amp; Map Interface in Java | Internal Working of HashMap, HashSet &amp; TreeMap | Java Full Course #33"/>
    <hyperlink ref="D226" r:id="rId225" display="Set &amp; Map Methods Explained | EnumMaps, IdentityHashMaps &amp; More | Java Full Course #34"/>
    <hyperlink ref="D227" r:id="rId226" display="Java Queue Interface Deep Dive | PriorityQueue &amp; Heap Explained | Java Full Course #35"/>
    <hyperlink ref="D228" r:id="rId227" display="Comparable Interface in Java | Collections class | Comparing Objects | Java Full Course #36"/>
    <hyperlink ref="D229" r:id="rId228" display="Java Lambdas &amp; Functional Interfaces | Comparator Interface | Java Full Course #37"/>
    <hyperlink ref="D230" r:id="rId229" display="Lambdas &amp; Functional Interface Deep Dive | Method References &amp; Composition | Java Full Course #38"/>
    <hyperlink ref="D231" r:id="rId230" display="Introduction to Java Streams | Creation &amp; Architecture | Java Full Course #39"/>
    <hyperlink ref="D232" r:id="rId231" display="Java Stream Methods Deep Dive | All Intermediate &amp; Terminal Operations | Java Full Course #40"/>
    <hyperlink ref="D233" r:id="rId232" display="Java Optional Explained from Scratch | All Methods + Streams Integration | Java Full Course #41"/>
    <hyperlink ref="D234" r:id="rId233" display="Parallel Streams in Java Explained | Primitive Optional Classes | Java Full Course #42"/>
    <hyperlink ref="D235" r:id="rId234" display="Java Exception Handling from Scratch | Exceptions vs Errors | Java Full Course #43"/>
    <hyperlink ref="D236" r:id="rId235" display="Exception Hierarchy Deep Dive | throw vs throws | Custom Exceptions | Java Full Course #44"/>
    <hyperlink ref="D237" r:id="rId236" display="Java Memory Management Explained in Depth | Stack, Heap, Method Area &amp; PC | Java Full Course #45"/>
    <hyperlink ref="D238" r:id="rId237" display="Java Heap Memory Deep Dive | Garbage Collection Algorithms Explained | Java Full Course #46"/>
    <hyperlink ref="D239" r:id="rId238" display="Introduction to Multithreading in Java | Process vs Thread  | Java Full Course #47"/>
    <hyperlink ref="D240" r:id="rId239" display="Java Thread Creation &amp; Lifecycle Explained from Scratch | Java Full Course #48"/>
    <hyperlink ref="D241" r:id="rId240" display="Thread Methods | sleep, join, yield, interrupt, isAlive, priority &amp; more | Java Full Course #49"/>
    <hyperlink ref="D242" r:id="rId241" display="Problems in Multithreading | Race Condition, Visibility, Ordering Explained | Java Full Course #50"/>
    <hyperlink ref="D243" r:id="rId242" display="Monitor Locks in Java | Synchronized Keyword, Static Sync &amp; Custom Locks | Java Full Course #51"/>
    <hyperlink ref="D244" r:id="rId243" display="Inter Thread Communication in Java | wait(), notify(), notifyAll() Deep Dive | Java Full Course #52"/>
    <hyperlink ref="D245" r:id="rId244" display="Java Locks | ReentrantLock, ReadWriteLock, StampedLock, Semaphore &amp; Condition | Java Full Course #53"/>
    <hyperlink ref="D246" r:id="rId245" display="Lock-Free Concurrency in Java | AtomicVariables &amp; CAS Explained | Java Full Course #54"/>
    <hyperlink ref="D247" r:id="rId246" display="Lock-Free Concurrency in Java - 2 | CAS Retry, Compare-and-Swap &amp; ABA Problem | Java Full Course #55"/>
    <hyperlink ref="D248" r:id="rId247" display="Executor Framework Deep Dive | ThreadPool, Future &amp; Callable | Java Full Course #56"/>
    <hyperlink ref="D249" r:id="rId248" display="CompletableFuture, Fork-Join Pool, ThreadLocal &amp; Virtual Threads | Java Full Course #57"/>
    <hyperlink ref="D250" r:id="rId249" display="Introduction to Java (Hindi) | What is Java? Explain with Syntax and Example"/>
    <hyperlink ref="D251" r:id="rId250" display="How To Setup JAVA For Visual Studio Code | Installation &amp; Code Example"/>
    <hyperlink ref="D252" r:id="rId251" display="SDE Roadmap: Software Developer Roadmap for 2026 | Learn Coding"/>
    <hyperlink ref="D253" r:id="rId252" display="Java Roadmap 2026 | Become a Java Developer in 2026 | Learn Coding"/>
    <hyperlink ref="D254" r:id="rId253" display="Core Java Syllabus | Learn Coding"/>
    <hyperlink ref="D255" r:id="rId254" display="Difference between Coding and Programming | Learn Coding"/>
    <hyperlink ref="D256" r:id="rId255" display="difference between statically and dynamically typed programming languages | Learn Coding"/>
    <hyperlink ref="D257" r:id="rId256" display="JDK JRE and JVM in Java (Hindi) | Learn Coding"/>
    <hyperlink ref="D258" r:id="rId257" display="History of Java Language (Hindi) | जावा का इतिहास क्या है? | Learn Coding"/>
    <hyperlink ref="D259" r:id="rId258" display="Features of Java (Hindi) | Learn Coding"/>
    <hyperlink ref="D260" r:id="rId259" display="Java program Compilation and Execution process in Detail (Hindi) | Learn Coding"/>
    <hyperlink ref="D261" r:id="rId260" display="Why public static void main(String args[ ]) in Java? full Explanation | Learn Coding"/>
    <hyperlink ref="D262" r:id="rId261" display="First Java Program | Java Hello World program | How to Compile &amp; Run Java Program"/>
    <hyperlink ref="D263" r:id="rId262" display="comments in java | types of comments in java"/>
    <hyperlink ref="D264" r:id="rId263" display="Data Types in Java (Hindi) | What is DataType? full Explanation | Learn Coding"/>
    <hyperlink ref="D265" r:id="rId264" display="Variables in Java (Hindi) | What is variable? full Explanation with types"/>
    <hyperlink ref="D266" r:id="rId265" display="Rules of Variable declaration in Java | Learn Coding"/>
    <hyperlink ref="D267" r:id="rId266" display="Local, Static and Instance variables in Java | Learn Coding"/>
    <hyperlink ref="D268" r:id="rId267" display="Add two numbers program in Java (without user input) | Learn Coding"/>
    <hyperlink ref="D269" r:id="rId268" display="Type Casting in Java with Example (Hindi) | Learn Coding"/>
    <hyperlink ref="D270" r:id="rId269" display="Input &amp; Output in Java (hindi) | Learn Coding"/>
    <hyperlink ref="D271" r:id="rId270" display="How to take input from user in Java | Learn Coding"/>
    <hyperlink ref="D272" r:id="rId271" display="tokens in java (hindi) | Learn Coding"/>
    <hyperlink ref="D273" r:id="rId272" display="keywords in java (hindi) | Learn Coding"/>
    <hyperlink ref="D274" r:id="rId273" display="identifiers in java (hindi) | Learn Coding"/>
    <hyperlink ref="D275" r:id="rId274" display="Operators in Java (Hindi) | What is Operator? Discuss with types"/>
    <hyperlink ref="D276" r:id="rId275" display="Java Arithmetic Operators Example | Learn Coding"/>
    <hyperlink ref="D277" r:id="rId276" display="Relational Operators Example in Java (Hindi) | Learn Coding"/>
    <hyperlink ref="D278" r:id="rId277" display="Logical Operators Example in Java (Hindi) | Learn Coding"/>
    <hyperlink ref="D279" r:id="rId278" display="Increment and Decrement Operators Example in Java (Hindi) | Learn Coding"/>
    <hyperlink ref="D280" r:id="rId279" display="Assignment Operators Example in Java (Hindi) | Learn Coding"/>
    <hyperlink ref="D281" r:id="rId280" display="Ternary Operator Example in Java (Hindi) | Learn Coding"/>
    <hyperlink ref="D282" r:id="rId281" display="Bitwise Operators Example in Java (Hindi) | Learn Coding"/>
    <hyperlink ref="D283" r:id="rId282" display="Decision Making Statements ( if, if else, else if ladder, nested if else, switch) in Java"/>
    <hyperlink ref="D284" r:id="rId283" display="If Statement in Java (Hindi) | Learn Coding"/>
    <hyperlink ref="D285" r:id="rId284" display="if else statement in Java (Hindi) | Learn Coding"/>
    <hyperlink ref="D286" r:id="rId285" display="if else if ladder statement in Java (hindi) | Learn Coding"/>
    <hyperlink ref="D287" r:id="rId286" display="Nested if else statement in Java (Hindi) | Learn Coding"/>
    <hyperlink ref="D288" r:id="rId287" display="Switch Statement in Java (Hindi) | Learn Coding"/>
    <hyperlink ref="D289" r:id="rId288" display="Looping Statements in Java (Hindi) | loops in Java | Learn Coding"/>
    <hyperlink ref="D290" r:id="rId289" display="While loop in Java (Hindi) | Learn Coding"/>
    <hyperlink ref="D291" r:id="rId290" display="Do While loop in Java (Hindi) | Learn Coding"/>
    <hyperlink ref="D292" r:id="rId291" display="for loop in Java (Hindi) | Learn Coding"/>
    <hyperlink ref="D293" r:id="rId292" display="for each loop in Java (Hindi) | Learn Coding"/>
    <hyperlink ref="D294" r:id="rId293" display="Nested for loop in Java (Hindi) | Learn Coding"/>
    <hyperlink ref="D295" r:id="rId294" display="Part-1 Java Basic MCQs | Java MCQ's Questions and Answers (Hindi) | Learn Coding"/>
    <hyperlink ref="D296" r:id="rId295" display="Part-2 Java MCQs | Java MCQ's for TCS Interview | Learn Coding"/>
    <hyperlink ref="D297" r:id="rId296" display="Odd Even Program in Java | Learn Coding"/>
    <hyperlink ref="D298" r:id="rId297" display="Add two numbers in Java | Learn Coding"/>
    <hyperlink ref="D299" r:id="rId298" display="Java program to print first N natural numbers | Learn Coding"/>
    <hyperlink ref="D300" r:id="rId299" display="Sum of first N natural numbers in Java | Learn Coding"/>
    <hyperlink ref="D301" r:id="rId300" display="Java program to print all Odd numbers between 1 to N | Learn Coding"/>
    <hyperlink ref="D302" r:id="rId301" display="Java program to print all Even numbers between 0 to N | Learn Coding"/>
    <hyperlink ref="D303" r:id="rId302" display="Java program to Calculate Sum of Odd or Even numbers | Learn Coding"/>
    <hyperlink ref="D304" r:id="rId303" display="Java program to take Character input from User | Learn Coding"/>
    <hyperlink ref="D305" r:id="rId304" display="Java program to check Character is Vowel or Consonant | Learn Coding"/>
    <hyperlink ref="D306" r:id="rId305" display="Java program to print ASCII value of a Character | Learn Coding"/>
    <hyperlink ref="D307" r:id="rId306" display="Java program to print A to Z alphabets | Learn Coding"/>
    <hyperlink ref="D308" r:id="rId307" display="Java program to find Greatest number between two Numbers | Learn Coding"/>
    <hyperlink ref="D309" r:id="rId308" display="Java program to calculate power of a Number | Learn Coding"/>
    <hyperlink ref="D310" r:id="rId309" display="Java program to find Greatest of three Numbers | Learn Coding"/>
    <hyperlink ref="D311" r:id="rId310" display="Java program to calculate Total and Average marks of 5 subjects | Learn Coding"/>
    <hyperlink ref="D312" r:id="rId311" display="Java program to find Factorial of a Number | Learn Coding"/>
    <hyperlink ref="D313" r:id="rId312" display="Java program to count Digits in a Number | Learn Coding"/>
    <hyperlink ref="D314" r:id="rId313" display="Java program to check Voting eligibility | Learn Coding"/>
    <hyperlink ref="D315" r:id="rId314" display="Java program to print Multiplication Table | Learn Coding"/>
    <hyperlink ref="D316" r:id="rId315" display="Java program to calculate Tax of a Salary | Learn Coding"/>
    <hyperlink ref="D317" r:id="rId316" display="Java program to Make Calculator | Learn Coding"/>
    <hyperlink ref="D318" r:id="rId317" display="Java program to Calculate Area of Rectangle | Learn Coding"/>
    <hyperlink ref="D319" r:id="rId318" display="Java program to Calculate Area of Circle | Learn Coding"/>
    <hyperlink ref="D320" r:id="rId319" display="Java program to Calculate Area of Square | Learn Coding"/>
    <hyperlink ref="D321" r:id="rId320" display="Java program to calculate area of Triangle | Learn Coding"/>
    <hyperlink ref="D322" r:id="rId321" display="Java program to Swap Two Numbers | Learn Coding"/>
    <hyperlink ref="D323" r:id="rId322" display="Java Program to Swap Two Numbers Without using Third Variable | Learn Coding"/>
    <hyperlink ref="D324" r:id="rId323" display="Java program to convert character uppercase to lowercase and vice - versa | Learn Coding"/>
    <hyperlink ref="D325" r:id="rId324" display="Java program to check number is Positive or Negative | Learn Coding"/>
    <hyperlink ref="D326" r:id="rId325" display="Java program to check input year is leap year or not | Learn Coding"/>
    <hyperlink ref="D327" r:id="rId326" display="Java program to check number is Divisible by 5 or Not | Learn Coding"/>
    <hyperlink ref="D328" r:id="rId327" display="Java program to print day name of weekend using switch statement | Learn Coding"/>
    <hyperlink ref="D329" r:id="rId328" display="Java program to find factor of a Number | Learn Coding"/>
    <hyperlink ref="D330" r:id="rId329" display="Java program to input month number and print number of Days | Learn Coding"/>
    <hyperlink ref="D331" r:id="rId330" display="Java Program to Reverse a Number | Learn Coding"/>
    <hyperlink ref="D332" r:id="rId331" display="Java Program to Find Sum of Digits | Learn Coding"/>
    <hyperlink ref="D333" r:id="rId332" display="Part-3 Java MCQs | What will be the output of java program"/>
    <hyperlink ref="D334" r:id="rId333" display="Java Program to Check Number is Palindrome or Not | Learn Coding"/>
    <hyperlink ref="D335" r:id="rId334" display="Java Program to Check Number is Armstrong or Not | Learn Coding"/>
    <hyperlink ref="D336" r:id="rId335" display="Java program to find Square Root of a Number | Learn Coding"/>
    <hyperlink ref="D337" r:id="rId336" display="Java Program to Check Number is Prime or Not | Learn Coding"/>
    <hyperlink ref="D338" r:id="rId337" display="Java Program to Check Weather a Number is Perfect or Not | Learn Coding"/>
    <hyperlink ref="D339" r:id="rId338" display="Java program to print all prime numbers between two numbers | Learn Coding"/>
    <hyperlink ref="D340" r:id="rId339" display="Arrays in Java (Hindi) | What is array? Explain with Syntax &amp; Example"/>
    <hyperlink ref="D341" r:id="rId340" display="Print array elements in Java | Learn Coding"/>
    <hyperlink ref="D342" r:id="rId341" display="Java Program to Print Array Elements using Arrays Class Methods | Learn Coding"/>
    <hyperlink ref="D343" r:id="rId342" display="Java program to print array elements in reverse order | Learn Coding"/>
    <hyperlink ref="D344" r:id="rId343" display="Java program to find length of array | Learn Coding"/>
    <hyperlink ref="D345" r:id="rId344" display="Java program to copy all elements of one array to another | Learn Coding"/>
    <hyperlink ref="D346" r:id="rId345" display="Java program to Add array elements | Sum of Array Elements in Java"/>
    <hyperlink ref="D347" r:id="rId346" display="Java program to search an element in array | Learn Coding"/>
    <hyperlink ref="D348" r:id="rId347" display="Java program to find average of an array elements | Learn Coding"/>
    <hyperlink ref="D349" r:id="rId348" display="Java program to arrange array elements in ascending order | Learn Coding"/>
    <hyperlink ref="D350" r:id="rId349" display="Java program to arrange array elements in descending order | Learn Coding"/>
    <hyperlink ref="D351" r:id="rId350" display="Arrays Class Methods in Java | Arrays methods- sort(), equals() and copyOf()"/>
    <hyperlink ref="D352" r:id="rId351" display="Java Arrays Comparison == Vs equals() | Learn Coding"/>
    <hyperlink ref="D353" r:id="rId352" display="Java program to find biggest element in array | Learn Coding"/>
    <hyperlink ref="D354" r:id="rId353" display="Java program to find smallest element in array | Learn Coding"/>
    <hyperlink ref="D355" r:id="rId354" display="Java program to insert element in an array | Learn Coding"/>
    <hyperlink ref="D356" r:id="rId355" display="Java program to delete array element | Learn Coding"/>
    <hyperlink ref="D357" r:id="rId356" display="Star Pattern Programs in Java | Learn Coding"/>
    <hyperlink ref="D358" r:id="rId357" display="Java Star Pattern Program(Logic) | Learn Coding"/>
    <hyperlink ref="D359" r:id="rId358" display="Java program to print star pattern | Learn Coding"/>
    <hyperlink ref="D360" r:id="rId359" display="Java Number Pattern (Logic) | Learn Coding"/>
    <hyperlink ref="D361" r:id="rId360" display="Character Pattern Programs in Java | Learn Coding"/>
    <hyperlink ref="D362" r:id="rId361" display="Diamond Pattern in Java | Learn Coding"/>
    <hyperlink ref="D363" r:id="rId362" display="Half-Diamond Pattern in Java | Learn Coding"/>
    <hyperlink ref="D364" r:id="rId363" display="Java Program to Print Fibonacci Series | Learn Coding"/>
    <hyperlink ref="D365" r:id="rId364" display="Java Program to Print Tribonacci Series | Learn Coding"/>
    <hyperlink ref="D366" r:id="rId365" display="Java program to print Matrix using 2D Array | Learn Coding"/>
    <hyperlink ref="D367" r:id="rId366" display="Java program to Addition of two Matrix | Learn Coding"/>
    <hyperlink ref="D368" r:id="rId367" display="Java program to print transpose matrix | Learn Coding"/>
    <hyperlink ref="D369" r:id="rId368" display="Java program to print mirror matrix | Learn Coding"/>
    <hyperlink ref="D370" r:id="rId369" display="Methods in Java (Hindi) | What is method? Explain with Syntax &amp; Example"/>
    <hyperlink ref="D371" r:id="rId370" display="Static vs Non-Static Method in Java | Learn Coding"/>
    <hyperlink ref="D372" r:id="rId371" display="How to use Methods in Java | Learn Coding"/>
    <hyperlink ref="D373" r:id="rId372" display="Recursion in Java (Hindi) | Learn Coding"/>
    <hyperlink ref="D374" r:id="rId373" display="Java Program to Find Factorial using Recursion | Learn Coding"/>
    <hyperlink ref="D375" r:id="rId374" display="What is String? full Explanation | Why String is Immutable in Java"/>
    <hyperlink ref="D376" r:id="rId375" display="Java Program to Compare Two Strings | Learn Coding"/>
    <hyperlink ref="D377" r:id="rId376" display="String Methods in Java | toLowerCase(), toUpperCase(), concat(), length(), trim(), replace() etc..."/>
    <hyperlink ref="D378" r:id="rId377" display="Java program to reverse a string | StringBuffer and StringBuilder Class in Java"/>
    <hyperlink ref="D379" r:id="rId378" display="Console Class in Java with Example | readLine() and readPassword() methods in Java"/>
    <hyperlink ref="D380" r:id="rId379" display="Difference Between Java and Python | JAVA Vs PYTHON ( हिन्दी में ) | Learn Coding"/>
    <hyperlink ref="D381" r:id="rId380" display="ELC and BLC in Java | Executable &amp; Non-Executable Class"/>
    <hyperlink ref="D382" r:id="rId381" display="Java Basic OOP Concepts | Features of OOPs in Java | Learn Coding"/>
    <hyperlink ref="D383" r:id="rId382" display="Class and Object in Java | Learn Coding"/>
    <hyperlink ref="D384" r:id="rId383" display="Constructors in Java | what is constructor? with syntax and example"/>
    <hyperlink ref="D385" r:id="rId384" display="Default Constructor in Java | Learn Coding"/>
    <hyperlink ref="D386" r:id="rId385" display="Parameterized Constructor in Java | Learn Coding"/>
    <hyperlink ref="D387" r:id="rId386" display="Copy Constructor in Java | Learn Coding"/>
    <hyperlink ref="D388" r:id="rId387" display="Private Constructor in Java | Learn Coding"/>
    <hyperlink ref="D389" r:id="rId388" display="Constructor Overloading in Java | Learn Coding"/>
    <hyperlink ref="D390" r:id="rId389" display="instance block in java | Learn Coding"/>
    <hyperlink ref="D391" r:id="rId390" display="static block in java | Learn Coding"/>
    <hyperlink ref="D392" r:id="rId391" display="instance block Vs static block in Java | Learn Coding"/>
    <hyperlink ref="D393" r:id="rId392" display="Inheritance in Java (hindi) | What is Inheritance? full Explanation"/>
    <hyperlink ref="D394" r:id="rId393" display="Simple Inheritance in Java | Learn Coding"/>
    <hyperlink ref="D395" r:id="rId394" display="Multilevel Inheritance in Java | Learn Coding"/>
    <hyperlink ref="D396" r:id="rId395" display="Why Java Doesn't Support Multiple Inheritance | Learn Coding"/>
    <hyperlink ref="D397" r:id="rId396" display="Hierarchical Inheritance in Java | Learn Coding"/>
    <hyperlink ref="D398" r:id="rId397" display="Super Keyword in Java | Learn Coding"/>
    <hyperlink ref="D399" r:id="rId398" display="this keyword in java | Learn Coding"/>
    <hyperlink ref="D400" r:id="rId399" display="Polymorphism in Java | Learn Coding"/>
    <hyperlink ref="D401" r:id="rId400" display="Method Overloading in Java | Learn Coding"/>
    <hyperlink ref="D402" r:id="rId401" display="Method Overriding in Java | Learn Coding"/>
    <hyperlink ref="D403" r:id="rId402" display="Encapsulation in Java | Learn Coding"/>
    <hyperlink ref="D404" r:id="rId403" display="Abstraction in Java (Hindi) | Learn Coding"/>
    <hyperlink ref="D405" r:id="rId404" display="Abstract Class in Java | Learn Coding"/>
    <hyperlink ref="D406" r:id="rId405" display="abstract class program in java | Learn Coding"/>
    <hyperlink ref="D407" r:id="rId406" display="Abstract Method in Java | Learn Coding"/>
    <hyperlink ref="D408" r:id="rId407" display="Interface in Java | Learn Coding"/>
    <hyperlink ref="D409" r:id="rId408" display="Why interface variables are public static and final in Java | Learn Coding"/>
    <hyperlink ref="D410" r:id="rId409" display="interface methods in java | Learn Coding"/>
    <hyperlink ref="D411" r:id="rId410" display="multiple inheritance using interface in java | Learn Coding"/>
    <hyperlink ref="D412" r:id="rId411" display="extending interfaces in java | Learn Coding"/>
    <hyperlink ref="D413" r:id="rId412" display="Interface JDK 1.8 in Java | default method in interface(Java)"/>
    <hyperlink ref="D414" r:id="rId413" display="Interface JDK 1.8 in Java | static method in interface(Java)"/>
    <hyperlink ref="D415" r:id="rId414" display="Interface JDK 1.9 in Java | private method in interface(Java)"/>
    <hyperlink ref="D416" r:id="rId415" display="final keyword in java | final variable, final method and final class in java"/>
    <hyperlink ref="D417" r:id="rId416" display="new keyword in java | Learn Coding"/>
    <hyperlink ref="D418" r:id="rId417" display="Java MCQs for Interview and Exams | इससे बाहर नही आएगा exam में"/>
    <hyperlink ref="D419" r:id="rId418" display="@override annotation in java | Learn Coding"/>
    <hyperlink ref="D420" r:id="rId419" display="covariant return type in java | Learn Coding"/>
    <hyperlink ref="D421" r:id="rId420" display="var arg method in java | Learn Coding"/>
    <hyperlink ref="D422" r:id="rId421" display="Exception Handling in Java | ArithmeticException"/>
    <hyperlink ref="D423" r:id="rId422" display="Exception Hierarchy in Java | NullPointerException"/>
    <hyperlink ref="D424" r:id="rId423" display="try catch block in java | NumberFormatException"/>
    <hyperlink ref="D425" r:id="rId424" display="try catch finally block in java | Learn Coding"/>
    <hyperlink ref="D426" r:id="rId425" display="Difference between abstract class and interface in java | Interface Vs Abstract Class"/>
    <hyperlink ref="D427" r:id="rId426" display="multiple try catch block in java | Learn Coding"/>
    <hyperlink ref="D428" r:id="rId427" display="multiple catch block in java | Learn Coding"/>
    <hyperlink ref="D429" r:id="rId428" display="nested try block in java | Learn Coding"/>
    <hyperlink ref="D430" r:id="rId429" display="nested catch block in java | Learn Coding"/>
    <hyperlink ref="D431" r:id="rId430" display="Difference Between Checked and Unchecked Exception | Learn Coding"/>
    <hyperlink ref="D432" r:id="rId431" display="try-catch-finally inside finally block in java | Learn Coding"/>
    <hyperlink ref="D433" r:id="rId432" display="finalize method in java | Learn Coding"/>
    <hyperlink ref="D434" r:id="rId433" display="Difference between final, finally and finalize | final Vs finally Vs finalize"/>
    <hyperlink ref="D435" r:id="rId434" display="throw keyword in java | Learn Coding"/>
    <hyperlink ref="D436" r:id="rId435" display="throws keyword in java | Learn Coding"/>
    <hyperlink ref="D437" r:id="rId436" display="Difference between throw and throws in Java | Throw Keyword vs Throws Keyword"/>
    <hyperlink ref="D438" r:id="rId437" display="throw and throws program in java | Learn Coding"/>
    <hyperlink ref="D439" r:id="rId438" display="try-catch Vs throws in java | Learn Coding"/>
    <hyperlink ref="D440" r:id="rId439" display="user defined exception in java | Learn Coding"/>
    <hyperlink ref="D441" r:id="rId440" display="Exception Propagation in Java | Learn Coding"/>
    <hyperlink ref="D442" r:id="rId441" display="Difference Between Exception and Error | Learn Coding"/>
    <hyperlink ref="D443" r:id="rId442" display="File Handling in Java | Java program to create a File"/>
    <hyperlink ref="D444" r:id="rId443" display="java program to display the file information | Learn Coding"/>
    <hyperlink ref="D445" r:id="rId444" display="java program to write into a file | Learn Coding"/>
    <hyperlink ref="D446" r:id="rId445" display="java program to read a text from file | Learn Coding"/>
    <hyperlink ref="D447" r:id="rId446" display="java program to rename a file | Learn Coding"/>
    <hyperlink ref="D448" r:id="rId447" display="java program to copy content from one file to another file | Learn Coding"/>
    <hyperlink ref="D449" r:id="rId448" display="Packages in Java | Learn Coding"/>
    <hyperlink ref="D450" r:id="rId449" display="Built in Package in Java | Learn Coding"/>
    <hyperlink ref="D451" r:id="rId450" display="User-defined Package in Java | Learn Coding"/>
    <hyperlink ref="D452" r:id="rId451" display="Multithreading in Java (hindi) | Multitasking vs Multithreading"/>
    <hyperlink ref="D453" r:id="rId452" display="Introduction to Multithreading in Java | Learn Coding"/>
    <hyperlink ref="D454" r:id="rId453" display="Multithreading- by extending Thread class in java"/>
    <hyperlink ref="D455" r:id="rId454" display="Multithreading- by implementing Runnable interface in java"/>
    <hyperlink ref="D456" r:id="rId455" display="thread scheduler in java | Learn Coding"/>
    <hyperlink ref="D457" r:id="rId456" display="thread life cycle in java | Learn Coding"/>
    <hyperlink ref="D458" r:id="rId457" display="sleep() method in java multithreading | Learn Coding"/>
    <hyperlink ref="D459" r:id="rId458" display="join() method in java multithreading | Learn Coding"/>
    <hyperlink ref="D460" r:id="rId459" display="suspend() and resume() method in java multithreading | Learn Coding"/>
    <hyperlink ref="D461" r:id="rId460" display="yield() method in java multithreading | Learn Coding"/>
    <hyperlink ref="D462" r:id="rId461" display="stop() method in java multithreading | Learn Coding"/>
    <hyperlink ref="D463" r:id="rId462" display="isAlive() method in java multithreading | Learn Coding"/>
    <hyperlink ref="D464" r:id="rId463" display="interrupt() method in java multithreading | Learn Coding"/>
    <hyperlink ref="D465" r:id="rId464" display="setPriority() and getPriority() method in java multithreading | Learn Coding"/>
    <hyperlink ref="D466" r:id="rId465" display="multithreading problems and solutions in java | synchronization in java"/>
    <hyperlink ref="D467" r:id="rId466" display="Synchronization in Java Multithreading | Learn Coding"/>
    <hyperlink ref="D468" r:id="rId467" display="synchronized method in java multithreading | Learn Coding"/>
    <hyperlink ref="D469" r:id="rId468" display="synchronized block in java multithreading | Learn Coding"/>
    <hyperlink ref="D470" r:id="rId469" display="static synchronization in java multithreading | fix synchronized problems in java"/>
    <hyperlink ref="D471" r:id="rId470" display="Difference between sleep() and join() in Java Multithreading | Learn Coding"/>
    <hyperlink ref="D472" r:id="rId471" display="Collections Framework in Java | Learn Coding"/>
    <hyperlink ref="D473" r:id="rId472" display="Java Interview Questions &amp; Answers | Learn Cod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7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5" min="4" style="0" width="13"/>
    <col collapsed="false" customWidth="true" hidden="false" outlineLevel="0" max="6" min="6" style="0" width="50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1793</v>
      </c>
    </row>
    <row r="2" customFormat="false" ht="15" hidden="false" customHeight="false" outlineLevel="0" collapsed="false">
      <c r="A2" s="28" t="s">
        <v>1794</v>
      </c>
    </row>
    <row r="4" customFormat="false" ht="23.85" hidden="false" customHeight="false" outlineLevel="0" collapsed="false">
      <c r="A4" s="3" t="s">
        <v>658</v>
      </c>
      <c r="B4" s="3" t="s">
        <v>3</v>
      </c>
      <c r="C4" s="3" t="s">
        <v>4</v>
      </c>
      <c r="D4" s="3" t="s">
        <v>6</v>
      </c>
      <c r="E4" s="3" t="s">
        <v>1795</v>
      </c>
      <c r="F4" s="3" t="s">
        <v>5</v>
      </c>
      <c r="G4" s="3" t="s">
        <v>1796</v>
      </c>
    </row>
    <row r="5" customFormat="false" ht="30" hidden="false" customHeight="true" outlineLevel="0" collapsed="false">
      <c r="A5" s="29" t="n">
        <v>75</v>
      </c>
      <c r="B5" s="30" t="s">
        <v>329</v>
      </c>
      <c r="C5" s="31" t="s">
        <v>374</v>
      </c>
      <c r="D5" s="29" t="s">
        <v>37</v>
      </c>
      <c r="E5" s="32" t="s">
        <v>1797</v>
      </c>
      <c r="F5" s="6" t="s">
        <v>375</v>
      </c>
      <c r="G5" s="6" t="s">
        <v>1798</v>
      </c>
    </row>
    <row r="6" customFormat="false" ht="30" hidden="false" customHeight="true" outlineLevel="0" collapsed="false">
      <c r="A6" s="29" t="n">
        <v>102</v>
      </c>
      <c r="B6" s="30" t="s">
        <v>433</v>
      </c>
      <c r="C6" s="31" t="s">
        <v>481</v>
      </c>
      <c r="D6" s="29" t="s">
        <v>37</v>
      </c>
      <c r="E6" s="32" t="s">
        <v>1797</v>
      </c>
      <c r="F6" s="6" t="s">
        <v>482</v>
      </c>
      <c r="G6" s="6" t="s">
        <v>1799</v>
      </c>
    </row>
    <row r="7" customFormat="false" ht="30" hidden="false" customHeight="true" outlineLevel="0" collapsed="false">
      <c r="A7" s="29" t="n">
        <v>21</v>
      </c>
      <c r="B7" s="30" t="s">
        <v>15</v>
      </c>
      <c r="C7" s="31" t="s">
        <v>129</v>
      </c>
      <c r="D7" s="29" t="s">
        <v>37</v>
      </c>
      <c r="E7" s="8" t="s">
        <v>1800</v>
      </c>
      <c r="F7" s="6" t="s">
        <v>130</v>
      </c>
      <c r="G7" s="6" t="s">
        <v>1801</v>
      </c>
    </row>
    <row r="8" customFormat="false" ht="30" hidden="false" customHeight="true" outlineLevel="0" collapsed="false">
      <c r="A8" s="29" t="n">
        <v>97</v>
      </c>
      <c r="B8" s="30" t="s">
        <v>433</v>
      </c>
      <c r="C8" s="31" t="s">
        <v>465</v>
      </c>
      <c r="D8" s="29" t="s">
        <v>37</v>
      </c>
      <c r="E8" s="8" t="s">
        <v>1800</v>
      </c>
      <c r="F8" s="6" t="s">
        <v>466</v>
      </c>
      <c r="G8" s="6" t="s">
        <v>1802</v>
      </c>
    </row>
    <row r="9" customFormat="false" ht="30" hidden="false" customHeight="true" outlineLevel="0" collapsed="false">
      <c r="A9" s="33" t="n">
        <v>37</v>
      </c>
      <c r="B9" s="34" t="s">
        <v>154</v>
      </c>
      <c r="C9" s="35" t="s">
        <v>208</v>
      </c>
      <c r="D9" s="33" t="s">
        <v>26</v>
      </c>
      <c r="E9" s="32" t="s">
        <v>1797</v>
      </c>
      <c r="F9" s="6" t="s">
        <v>209</v>
      </c>
      <c r="G9" s="6" t="s">
        <v>1803</v>
      </c>
    </row>
    <row r="10" customFormat="false" ht="43.5" hidden="false" customHeight="true" outlineLevel="0" collapsed="false">
      <c r="A10" s="33" t="n">
        <v>61</v>
      </c>
      <c r="B10" s="34" t="s">
        <v>285</v>
      </c>
      <c r="C10" s="35" t="s">
        <v>313</v>
      </c>
      <c r="D10" s="33" t="s">
        <v>26</v>
      </c>
      <c r="E10" s="32" t="s">
        <v>1797</v>
      </c>
      <c r="F10" s="6" t="s">
        <v>314</v>
      </c>
      <c r="G10" s="6" t="s">
        <v>1804</v>
      </c>
    </row>
    <row r="11" customFormat="false" ht="30" hidden="false" customHeight="true" outlineLevel="0" collapsed="false">
      <c r="A11" s="33" t="n">
        <v>64</v>
      </c>
      <c r="B11" s="34" t="s">
        <v>316</v>
      </c>
      <c r="C11" s="35" t="s">
        <v>326</v>
      </c>
      <c r="D11" s="33" t="s">
        <v>26</v>
      </c>
      <c r="E11" s="32" t="s">
        <v>1797</v>
      </c>
      <c r="F11" s="6" t="s">
        <v>327</v>
      </c>
      <c r="G11" s="6" t="s">
        <v>1805</v>
      </c>
    </row>
    <row r="12" customFormat="false" ht="30" hidden="false" customHeight="true" outlineLevel="0" collapsed="false">
      <c r="A12" s="33" t="n">
        <v>74</v>
      </c>
      <c r="B12" s="34" t="s">
        <v>329</v>
      </c>
      <c r="C12" s="35" t="s">
        <v>371</v>
      </c>
      <c r="D12" s="33" t="s">
        <v>26</v>
      </c>
      <c r="E12" s="32" t="s">
        <v>1797</v>
      </c>
      <c r="F12" s="6" t="s">
        <v>372</v>
      </c>
      <c r="G12" s="6" t="s">
        <v>1806</v>
      </c>
    </row>
    <row r="13" customFormat="false" ht="30" hidden="false" customHeight="true" outlineLevel="0" collapsed="false">
      <c r="A13" s="33" t="n">
        <v>86</v>
      </c>
      <c r="B13" s="34" t="s">
        <v>410</v>
      </c>
      <c r="C13" s="35" t="s">
        <v>418</v>
      </c>
      <c r="D13" s="33" t="s">
        <v>26</v>
      </c>
      <c r="E13" s="32" t="s">
        <v>1797</v>
      </c>
      <c r="F13" s="6" t="s">
        <v>419</v>
      </c>
      <c r="G13" s="6" t="s">
        <v>1807</v>
      </c>
    </row>
    <row r="14" customFormat="false" ht="30" hidden="false" customHeight="true" outlineLevel="0" collapsed="false">
      <c r="A14" s="33" t="n">
        <v>88</v>
      </c>
      <c r="B14" s="34" t="s">
        <v>410</v>
      </c>
      <c r="C14" s="35" t="s">
        <v>424</v>
      </c>
      <c r="D14" s="33" t="s">
        <v>26</v>
      </c>
      <c r="E14" s="32" t="s">
        <v>1797</v>
      </c>
      <c r="F14" s="6" t="s">
        <v>425</v>
      </c>
      <c r="G14" s="6" t="s">
        <v>1808</v>
      </c>
    </row>
    <row r="15" customFormat="false" ht="16.5" hidden="false" customHeight="true" outlineLevel="0" collapsed="false">
      <c r="A15" s="33" t="n">
        <v>89</v>
      </c>
      <c r="B15" s="34" t="s">
        <v>410</v>
      </c>
      <c r="C15" s="35" t="s">
        <v>427</v>
      </c>
      <c r="D15" s="33" t="s">
        <v>26</v>
      </c>
      <c r="E15" s="32" t="s">
        <v>1797</v>
      </c>
      <c r="F15" s="6" t="s">
        <v>428</v>
      </c>
      <c r="G15" s="6" t="s">
        <v>1809</v>
      </c>
    </row>
    <row r="16" customFormat="false" ht="30" hidden="false" customHeight="true" outlineLevel="0" collapsed="false">
      <c r="A16" s="33" t="n">
        <v>114</v>
      </c>
      <c r="B16" s="34" t="s">
        <v>505</v>
      </c>
      <c r="C16" s="35" t="s">
        <v>520</v>
      </c>
      <c r="D16" s="33" t="s">
        <v>26</v>
      </c>
      <c r="E16" s="32" t="s">
        <v>1797</v>
      </c>
      <c r="F16" s="6" t="s">
        <v>521</v>
      </c>
      <c r="G16" s="6" t="s">
        <v>1810</v>
      </c>
    </row>
    <row r="17" customFormat="false" ht="30" hidden="false" customHeight="true" outlineLevel="0" collapsed="false">
      <c r="A17" s="33" t="n">
        <v>117</v>
      </c>
      <c r="B17" s="34" t="s">
        <v>523</v>
      </c>
      <c r="C17" s="35" t="s">
        <v>531</v>
      </c>
      <c r="D17" s="33" t="s">
        <v>26</v>
      </c>
      <c r="E17" s="32" t="s">
        <v>1797</v>
      </c>
      <c r="F17" s="6" t="s">
        <v>532</v>
      </c>
      <c r="G17" s="6" t="s">
        <v>1811</v>
      </c>
    </row>
    <row r="18" customFormat="false" ht="30" hidden="false" customHeight="true" outlineLevel="0" collapsed="false">
      <c r="A18" s="33" t="n">
        <v>118</v>
      </c>
      <c r="B18" s="34" t="s">
        <v>523</v>
      </c>
      <c r="C18" s="35" t="s">
        <v>534</v>
      </c>
      <c r="D18" s="33" t="s">
        <v>26</v>
      </c>
      <c r="E18" s="32" t="s">
        <v>1797</v>
      </c>
      <c r="F18" s="6" t="s">
        <v>535</v>
      </c>
      <c r="G18" s="6" t="s">
        <v>1812</v>
      </c>
    </row>
    <row r="19" customFormat="false" ht="30" hidden="false" customHeight="true" outlineLevel="0" collapsed="false">
      <c r="A19" s="33" t="n">
        <v>121</v>
      </c>
      <c r="B19" s="34" t="s">
        <v>523</v>
      </c>
      <c r="C19" s="35" t="s">
        <v>543</v>
      </c>
      <c r="D19" s="33" t="s">
        <v>26</v>
      </c>
      <c r="E19" s="32" t="s">
        <v>1797</v>
      </c>
      <c r="F19" s="6" t="s">
        <v>544</v>
      </c>
      <c r="G19" s="6" t="s">
        <v>1813</v>
      </c>
    </row>
    <row r="20" customFormat="false" ht="16.5" hidden="false" customHeight="true" outlineLevel="0" collapsed="false">
      <c r="A20" s="33" t="n">
        <v>132</v>
      </c>
      <c r="B20" s="34" t="s">
        <v>574</v>
      </c>
      <c r="C20" s="35" t="s">
        <v>578</v>
      </c>
      <c r="D20" s="33" t="s">
        <v>26</v>
      </c>
      <c r="E20" s="32" t="s">
        <v>1797</v>
      </c>
      <c r="F20" s="6" t="s">
        <v>579</v>
      </c>
      <c r="G20" s="6" t="s">
        <v>1814</v>
      </c>
    </row>
    <row r="21" customFormat="false" ht="16.5" hidden="false" customHeight="true" outlineLevel="0" collapsed="false">
      <c r="A21" s="33" t="n">
        <v>133</v>
      </c>
      <c r="B21" s="34" t="s">
        <v>574</v>
      </c>
      <c r="C21" s="35" t="s">
        <v>581</v>
      </c>
      <c r="D21" s="33" t="s">
        <v>26</v>
      </c>
      <c r="E21" s="32" t="s">
        <v>1797</v>
      </c>
      <c r="F21" s="6" t="s">
        <v>582</v>
      </c>
      <c r="G21" s="6" t="s">
        <v>1815</v>
      </c>
    </row>
    <row r="22" customFormat="false" ht="16.5" hidden="false" customHeight="true" outlineLevel="0" collapsed="false">
      <c r="A22" s="33" t="n">
        <v>134</v>
      </c>
      <c r="B22" s="34" t="s">
        <v>574</v>
      </c>
      <c r="C22" s="35" t="s">
        <v>584</v>
      </c>
      <c r="D22" s="33" t="s">
        <v>26</v>
      </c>
      <c r="E22" s="32" t="s">
        <v>1797</v>
      </c>
      <c r="F22" s="6" t="s">
        <v>585</v>
      </c>
      <c r="G22" s="6" t="s">
        <v>1816</v>
      </c>
    </row>
    <row r="23" customFormat="false" ht="30" hidden="false" customHeight="true" outlineLevel="0" collapsed="false">
      <c r="A23" s="33" t="n">
        <v>138</v>
      </c>
      <c r="B23" s="34" t="s">
        <v>597</v>
      </c>
      <c r="C23" s="35" t="s">
        <v>598</v>
      </c>
      <c r="D23" s="33" t="s">
        <v>26</v>
      </c>
      <c r="E23" s="32" t="s">
        <v>1797</v>
      </c>
      <c r="F23" s="6" t="s">
        <v>599</v>
      </c>
      <c r="G23" s="6" t="s">
        <v>1817</v>
      </c>
    </row>
    <row r="24" customFormat="false" ht="30" hidden="false" customHeight="true" outlineLevel="0" collapsed="false">
      <c r="A24" s="33" t="n">
        <v>139</v>
      </c>
      <c r="B24" s="34" t="s">
        <v>597</v>
      </c>
      <c r="C24" s="35" t="s">
        <v>601</v>
      </c>
      <c r="D24" s="33" t="s">
        <v>26</v>
      </c>
      <c r="E24" s="32" t="s">
        <v>1797</v>
      </c>
      <c r="F24" s="6" t="s">
        <v>602</v>
      </c>
      <c r="G24" s="6" t="s">
        <v>1818</v>
      </c>
    </row>
    <row r="25" customFormat="false" ht="30" hidden="false" customHeight="true" outlineLevel="0" collapsed="false">
      <c r="A25" s="33" t="n">
        <v>140</v>
      </c>
      <c r="B25" s="34" t="s">
        <v>597</v>
      </c>
      <c r="C25" s="35" t="s">
        <v>604</v>
      </c>
      <c r="D25" s="33" t="s">
        <v>26</v>
      </c>
      <c r="E25" s="32" t="s">
        <v>1797</v>
      </c>
      <c r="F25" s="6" t="s">
        <v>605</v>
      </c>
      <c r="G25" s="6" t="s">
        <v>1819</v>
      </c>
    </row>
    <row r="26" customFormat="false" ht="30" hidden="false" customHeight="true" outlineLevel="0" collapsed="false">
      <c r="A26" s="33" t="n">
        <v>30</v>
      </c>
      <c r="B26" s="34" t="s">
        <v>154</v>
      </c>
      <c r="C26" s="35" t="s">
        <v>173</v>
      </c>
      <c r="D26" s="33" t="s">
        <v>26</v>
      </c>
      <c r="E26" s="8" t="s">
        <v>1800</v>
      </c>
      <c r="F26" s="6" t="s">
        <v>174</v>
      </c>
      <c r="G26" s="6" t="s">
        <v>1820</v>
      </c>
    </row>
    <row r="27" customFormat="false" ht="30" hidden="false" customHeight="true" outlineLevel="0" collapsed="false">
      <c r="A27" s="33" t="n">
        <v>47</v>
      </c>
      <c r="B27" s="34" t="s">
        <v>154</v>
      </c>
      <c r="C27" s="35" t="s">
        <v>254</v>
      </c>
      <c r="D27" s="33" t="s">
        <v>26</v>
      </c>
      <c r="E27" s="8" t="s">
        <v>1800</v>
      </c>
      <c r="F27" s="6" t="s">
        <v>255</v>
      </c>
      <c r="G27" s="6" t="s">
        <v>1821</v>
      </c>
    </row>
    <row r="28" customFormat="false" ht="30" hidden="false" customHeight="true" outlineLevel="0" collapsed="false">
      <c r="A28" s="33" t="n">
        <v>58</v>
      </c>
      <c r="B28" s="34" t="s">
        <v>285</v>
      </c>
      <c r="C28" s="35" t="s">
        <v>303</v>
      </c>
      <c r="D28" s="33" t="s">
        <v>26</v>
      </c>
      <c r="E28" s="8" t="s">
        <v>1800</v>
      </c>
      <c r="F28" s="6" t="s">
        <v>304</v>
      </c>
      <c r="G28" s="6" t="s">
        <v>1822</v>
      </c>
    </row>
    <row r="29" customFormat="false" ht="30" hidden="false" customHeight="true" outlineLevel="0" collapsed="false">
      <c r="A29" s="33" t="n">
        <v>66</v>
      </c>
      <c r="B29" s="34" t="s">
        <v>329</v>
      </c>
      <c r="C29" s="35" t="s">
        <v>337</v>
      </c>
      <c r="D29" s="33" t="s">
        <v>26</v>
      </c>
      <c r="E29" s="8" t="s">
        <v>1800</v>
      </c>
      <c r="F29" s="6" t="s">
        <v>338</v>
      </c>
      <c r="G29" s="6" t="s">
        <v>1823</v>
      </c>
    </row>
    <row r="30" customFormat="false" ht="30" hidden="false" customHeight="true" outlineLevel="0" collapsed="false">
      <c r="A30" s="33" t="n">
        <v>98</v>
      </c>
      <c r="B30" s="34" t="s">
        <v>433</v>
      </c>
      <c r="C30" s="35" t="s">
        <v>468</v>
      </c>
      <c r="D30" s="33" t="s">
        <v>26</v>
      </c>
      <c r="E30" s="8" t="s">
        <v>1800</v>
      </c>
      <c r="F30" s="6" t="s">
        <v>469</v>
      </c>
      <c r="G30" s="6" t="s">
        <v>1824</v>
      </c>
    </row>
    <row r="31" customFormat="false" ht="30" hidden="false" customHeight="true" outlineLevel="0" collapsed="false">
      <c r="A31" s="33" t="n">
        <v>101</v>
      </c>
      <c r="B31" s="34" t="s">
        <v>433</v>
      </c>
      <c r="C31" s="35" t="s">
        <v>478</v>
      </c>
      <c r="D31" s="33" t="s">
        <v>26</v>
      </c>
      <c r="E31" s="8" t="s">
        <v>1800</v>
      </c>
      <c r="F31" s="6" t="s">
        <v>479</v>
      </c>
      <c r="G31" s="6" t="s">
        <v>1825</v>
      </c>
    </row>
    <row r="32" customFormat="false" ht="30" hidden="false" customHeight="true" outlineLevel="0" collapsed="false">
      <c r="A32" s="36" t="n">
        <v>17</v>
      </c>
      <c r="B32" s="37" t="s">
        <v>15</v>
      </c>
      <c r="C32" s="38" t="s">
        <v>111</v>
      </c>
      <c r="D32" s="36" t="s">
        <v>18</v>
      </c>
      <c r="E32" s="32" t="s">
        <v>1797</v>
      </c>
      <c r="F32" s="6" t="s">
        <v>112</v>
      </c>
      <c r="G32" s="6" t="s">
        <v>1826</v>
      </c>
    </row>
    <row r="33" customFormat="false" ht="30" hidden="false" customHeight="true" outlineLevel="0" collapsed="false">
      <c r="A33" s="36" t="n">
        <v>26</v>
      </c>
      <c r="B33" s="37" t="s">
        <v>15</v>
      </c>
      <c r="C33" s="38" t="s">
        <v>151</v>
      </c>
      <c r="D33" s="36" t="s">
        <v>18</v>
      </c>
      <c r="E33" s="32" t="s">
        <v>1797</v>
      </c>
      <c r="F33" s="6" t="s">
        <v>152</v>
      </c>
      <c r="G33" s="6" t="s">
        <v>1827</v>
      </c>
    </row>
    <row r="34" customFormat="false" ht="30" hidden="false" customHeight="true" outlineLevel="0" collapsed="false">
      <c r="A34" s="36" t="n">
        <v>44</v>
      </c>
      <c r="B34" s="37" t="s">
        <v>154</v>
      </c>
      <c r="C34" s="38" t="s">
        <v>243</v>
      </c>
      <c r="D34" s="36" t="s">
        <v>18</v>
      </c>
      <c r="E34" s="32" t="s">
        <v>1797</v>
      </c>
      <c r="F34" s="6" t="s">
        <v>244</v>
      </c>
      <c r="G34" s="6" t="s">
        <v>1828</v>
      </c>
    </row>
    <row r="35" customFormat="false" ht="16.5" hidden="false" customHeight="true" outlineLevel="0" collapsed="false">
      <c r="A35" s="36" t="n">
        <v>83</v>
      </c>
      <c r="B35" s="37" t="s">
        <v>377</v>
      </c>
      <c r="C35" s="38" t="s">
        <v>407</v>
      </c>
      <c r="D35" s="36" t="s">
        <v>18</v>
      </c>
      <c r="E35" s="32" t="s">
        <v>1797</v>
      </c>
      <c r="F35" s="6" t="s">
        <v>408</v>
      </c>
      <c r="G35" s="6" t="s">
        <v>1829</v>
      </c>
    </row>
    <row r="36" customFormat="false" ht="30" hidden="false" customHeight="true" outlineLevel="0" collapsed="false">
      <c r="A36" s="36" t="n">
        <v>87</v>
      </c>
      <c r="B36" s="37" t="s">
        <v>410</v>
      </c>
      <c r="C36" s="38" t="s">
        <v>421</v>
      </c>
      <c r="D36" s="36" t="s">
        <v>18</v>
      </c>
      <c r="E36" s="32" t="s">
        <v>1797</v>
      </c>
      <c r="F36" s="6" t="s">
        <v>422</v>
      </c>
      <c r="G36" s="6" t="s">
        <v>1830</v>
      </c>
    </row>
    <row r="37" customFormat="false" ht="30" hidden="false" customHeight="true" outlineLevel="0" collapsed="false">
      <c r="A37" s="36" t="n">
        <v>90</v>
      </c>
      <c r="B37" s="37" t="s">
        <v>410</v>
      </c>
      <c r="C37" s="38" t="s">
        <v>430</v>
      </c>
      <c r="D37" s="36" t="s">
        <v>18</v>
      </c>
      <c r="E37" s="32" t="s">
        <v>1797</v>
      </c>
      <c r="F37" s="6" t="s">
        <v>431</v>
      </c>
      <c r="G37" s="6" t="s">
        <v>1831</v>
      </c>
    </row>
    <row r="38" customFormat="false" ht="30" hidden="false" customHeight="true" outlineLevel="0" collapsed="false">
      <c r="A38" s="36" t="n">
        <v>109</v>
      </c>
      <c r="B38" s="37" t="s">
        <v>433</v>
      </c>
      <c r="C38" s="38" t="s">
        <v>502</v>
      </c>
      <c r="D38" s="36" t="s">
        <v>18</v>
      </c>
      <c r="E38" s="32" t="s">
        <v>1797</v>
      </c>
      <c r="F38" s="6" t="s">
        <v>503</v>
      </c>
      <c r="G38" s="6" t="s">
        <v>1832</v>
      </c>
    </row>
    <row r="39" customFormat="false" ht="16.5" hidden="false" customHeight="true" outlineLevel="0" collapsed="false">
      <c r="A39" s="36" t="n">
        <v>112</v>
      </c>
      <c r="B39" s="37" t="s">
        <v>505</v>
      </c>
      <c r="C39" s="38" t="s">
        <v>514</v>
      </c>
      <c r="D39" s="36" t="s">
        <v>18</v>
      </c>
      <c r="E39" s="32" t="s">
        <v>1797</v>
      </c>
      <c r="F39" s="6" t="s">
        <v>515</v>
      </c>
      <c r="G39" s="6" t="s">
        <v>1833</v>
      </c>
    </row>
    <row r="40" customFormat="false" ht="30" hidden="false" customHeight="true" outlineLevel="0" collapsed="false">
      <c r="A40" s="36" t="n">
        <v>113</v>
      </c>
      <c r="B40" s="37" t="s">
        <v>505</v>
      </c>
      <c r="C40" s="38" t="s">
        <v>517</v>
      </c>
      <c r="D40" s="36" t="s">
        <v>18</v>
      </c>
      <c r="E40" s="32" t="s">
        <v>1797</v>
      </c>
      <c r="F40" s="6" t="s">
        <v>518</v>
      </c>
      <c r="G40" s="6" t="s">
        <v>1834</v>
      </c>
    </row>
    <row r="41" customFormat="false" ht="16.5" hidden="false" customHeight="true" outlineLevel="0" collapsed="false">
      <c r="A41" s="36" t="n">
        <v>122</v>
      </c>
      <c r="B41" s="37" t="s">
        <v>523</v>
      </c>
      <c r="C41" s="38" t="s">
        <v>546</v>
      </c>
      <c r="D41" s="36" t="s">
        <v>18</v>
      </c>
      <c r="E41" s="32" t="s">
        <v>1797</v>
      </c>
      <c r="F41" s="6" t="s">
        <v>547</v>
      </c>
      <c r="G41" s="6" t="s">
        <v>1835</v>
      </c>
    </row>
    <row r="42" customFormat="false" ht="16.5" hidden="false" customHeight="true" outlineLevel="0" collapsed="false">
      <c r="A42" s="36" t="n">
        <v>123</v>
      </c>
      <c r="B42" s="37" t="s">
        <v>549</v>
      </c>
      <c r="C42" s="38" t="s">
        <v>550</v>
      </c>
      <c r="D42" s="36" t="s">
        <v>18</v>
      </c>
      <c r="E42" s="32" t="s">
        <v>1797</v>
      </c>
      <c r="F42" s="6" t="s">
        <v>551</v>
      </c>
      <c r="G42" s="6" t="s">
        <v>1836</v>
      </c>
    </row>
    <row r="43" customFormat="false" ht="16.5" hidden="false" customHeight="true" outlineLevel="0" collapsed="false">
      <c r="A43" s="36" t="n">
        <v>129</v>
      </c>
      <c r="B43" s="37" t="s">
        <v>549</v>
      </c>
      <c r="C43" s="38" t="s">
        <v>568</v>
      </c>
      <c r="D43" s="36" t="s">
        <v>18</v>
      </c>
      <c r="E43" s="32" t="s">
        <v>1797</v>
      </c>
      <c r="F43" s="6" t="s">
        <v>569</v>
      </c>
      <c r="G43" s="6" t="s">
        <v>1837</v>
      </c>
    </row>
    <row r="44" customFormat="false" ht="30" hidden="false" customHeight="true" outlineLevel="0" collapsed="false">
      <c r="A44" s="36" t="n">
        <v>130</v>
      </c>
      <c r="B44" s="37" t="s">
        <v>549</v>
      </c>
      <c r="C44" s="38" t="s">
        <v>571</v>
      </c>
      <c r="D44" s="36" t="s">
        <v>18</v>
      </c>
      <c r="E44" s="32" t="s">
        <v>1797</v>
      </c>
      <c r="F44" s="6" t="s">
        <v>572</v>
      </c>
      <c r="G44" s="6" t="s">
        <v>1838</v>
      </c>
    </row>
    <row r="45" customFormat="false" ht="16.5" hidden="false" customHeight="true" outlineLevel="0" collapsed="false">
      <c r="A45" s="36" t="n">
        <v>136</v>
      </c>
      <c r="B45" s="37" t="s">
        <v>574</v>
      </c>
      <c r="C45" s="38" t="s">
        <v>591</v>
      </c>
      <c r="D45" s="36" t="s">
        <v>18</v>
      </c>
      <c r="E45" s="32" t="s">
        <v>1797</v>
      </c>
      <c r="F45" s="6" t="s">
        <v>592</v>
      </c>
      <c r="G45" s="6" t="s">
        <v>1839</v>
      </c>
    </row>
    <row r="46" customFormat="false" ht="30" hidden="false" customHeight="true" outlineLevel="0" collapsed="false">
      <c r="A46" s="36" t="n">
        <v>119</v>
      </c>
      <c r="B46" s="37" t="s">
        <v>523</v>
      </c>
      <c r="C46" s="38" t="s">
        <v>537</v>
      </c>
      <c r="D46" s="36" t="s">
        <v>18</v>
      </c>
      <c r="E46" s="8" t="s">
        <v>1800</v>
      </c>
      <c r="F46" s="6" t="s">
        <v>538</v>
      </c>
      <c r="G46" s="6" t="s">
        <v>1840</v>
      </c>
    </row>
    <row r="47" customFormat="false" ht="30" hidden="false" customHeight="true" outlineLevel="0" collapsed="false">
      <c r="A47" s="36" t="n">
        <v>120</v>
      </c>
      <c r="B47" s="37" t="s">
        <v>523</v>
      </c>
      <c r="C47" s="38" t="s">
        <v>540</v>
      </c>
      <c r="D47" s="36" t="s">
        <v>18</v>
      </c>
      <c r="E47" s="8" t="s">
        <v>1800</v>
      </c>
      <c r="F47" s="6" t="s">
        <v>541</v>
      </c>
      <c r="G47" s="6" t="s">
        <v>1841</v>
      </c>
    </row>
    <row r="48" customFormat="false" ht="16.5" hidden="false" customHeight="true" outlineLevel="0" collapsed="false">
      <c r="A48" s="36" t="n">
        <v>135</v>
      </c>
      <c r="B48" s="37" t="s">
        <v>574</v>
      </c>
      <c r="C48" s="38" t="s">
        <v>587</v>
      </c>
      <c r="D48" s="36" t="s">
        <v>18</v>
      </c>
      <c r="E48" s="8" t="s">
        <v>1800</v>
      </c>
      <c r="F48" s="6" t="s">
        <v>588</v>
      </c>
      <c r="G48" s="6" t="s">
        <v>1842</v>
      </c>
    </row>
  </sheetData>
  <autoFilter ref="A4:G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2026-10-29T11:57:59Z</dcterms:created>
  <dc:creator>openpyxl</dc:creator>
  <dc:description/>
  <dc:language>en-US</dc:language>
  <cp:lastModifiedBy/>
  <dcterms:modified xsi:type="dcterms:W3CDTF">2026-10-29T11:58:00Z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